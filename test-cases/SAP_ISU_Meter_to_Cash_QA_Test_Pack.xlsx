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monJrTan\Downloads\sap-isu-meter-to-cash-qa-portfolio\sap-isu-meter-to-cash-qa-portfolio\test-cases\"/>
    </mc:Choice>
  </mc:AlternateContent>
  <xr:revisionPtr revIDLastSave="0" documentId="13_ncr:1_{045C0CA0-5926-4B45-8F2A-ED3D3E2BE408}" xr6:coauthVersionLast="47" xr6:coauthVersionMax="47" xr10:uidLastSave="{00000000-0000-0000-0000-000000000000}"/>
  <bookViews>
    <workbookView xWindow="28680" yWindow="-120" windowWidth="29040" windowHeight="15720" xr2:uid="{00000000-000D-0000-FFFF-FFFF00000000}"/>
  </bookViews>
  <sheets>
    <sheet name="README" sheetId="1" r:id="rId1"/>
    <sheet name="Summary" sheetId="2" r:id="rId2"/>
    <sheet name="10_Meter_Reading" sheetId="3" r:id="rId3"/>
    <sheet name="20_Device_Management" sheetId="4" r:id="rId4"/>
    <sheet name="30_Billing_Invoicing" sheetId="5" r:id="rId5"/>
    <sheet name="40_Customer_Accounts" sheetId="6" r:id="rId6"/>
    <sheet name="50_Error_Handling_Resilience" sheetId="7" r:id="rId7"/>
    <sheet name="60_E2E_Meter_to_Cash" sheetId="8" r:id="rId8"/>
    <sheet name="70_RTM" sheetId="9" r:id="rId9"/>
    <sheet name="80_Automation_Map" sheetId="10" r:id="rId10"/>
  </sheets>
  <definedNames>
    <definedName name="_xlnm._FilterDatabase" localSheetId="2" hidden="1">'10_Meter_Reading'!$A$2:$L$8</definedName>
    <definedName name="_xlnm._FilterDatabase" localSheetId="3" hidden="1">'20_Device_Management'!$A$2:$L$8</definedName>
    <definedName name="_xlnm._FilterDatabase" localSheetId="4" hidden="1">'30_Billing_Invoicing'!$A$2:$L$8</definedName>
    <definedName name="_xlnm._FilterDatabase" localSheetId="5" hidden="1">'40_Customer_Accounts'!$A$2:$L$7</definedName>
    <definedName name="_xlnm._FilterDatabase" localSheetId="6" hidden="1">'50_Error_Handling_Resilience'!$A$2:$L$7</definedName>
    <definedName name="_xlnm._FilterDatabase" localSheetId="7" hidden="1">'60_E2E_Meter_to_Cash'!$A$2:$L$8</definedName>
    <definedName name="_xlnm._FilterDatabase" localSheetId="8" hidden="1">'70_RTM'!$A$2:$I$10</definedName>
    <definedName name="_xlnm._FilterDatabase" localSheetId="9" hidden="1">'80_Automation_Map'!$A$2:$H$13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2" l="1"/>
  <c r="B29" i="2"/>
  <c r="B28" i="2"/>
  <c r="E28" i="2" s="1"/>
  <c r="B27" i="2"/>
  <c r="F17" i="2"/>
  <c r="E17" i="2"/>
  <c r="D17" i="2"/>
  <c r="C17" i="2"/>
  <c r="F16" i="2"/>
  <c r="E16" i="2"/>
  <c r="D16" i="2"/>
  <c r="C16" i="2"/>
  <c r="F15" i="2"/>
  <c r="E15" i="2"/>
  <c r="D15" i="2"/>
  <c r="C15" i="2"/>
  <c r="F14" i="2"/>
  <c r="F18" i="2" s="1"/>
  <c r="E14" i="2"/>
  <c r="E18" i="2" s="1"/>
  <c r="D14" i="2"/>
  <c r="D18" i="2" s="1"/>
  <c r="C14" i="2"/>
  <c r="C18" i="2" s="1"/>
  <c r="E27" i="2" s="1"/>
  <c r="E29" i="2" s="1"/>
  <c r="F13" i="2"/>
  <c r="E13" i="2"/>
  <c r="D13" i="2"/>
  <c r="C13" i="2"/>
  <c r="F12" i="2"/>
  <c r="E12" i="2"/>
  <c r="D12" i="2"/>
  <c r="C12" i="2"/>
  <c r="E31" i="2" l="1"/>
  <c r="E30" i="2"/>
</calcChain>
</file>

<file path=xl/sharedStrings.xml><?xml version="1.0" encoding="utf-8"?>
<sst xmlns="http://schemas.openxmlformats.org/spreadsheetml/2006/main" count="699" uniqueCount="400">
  <si>
    <t>SAP IS-U Meter-to-Cash QA Portfolio</t>
  </si>
  <si>
    <t>Purpose</t>
  </si>
  <si>
    <t>Provide reusable sample manual test cases for an event-driven order processing platform covering order creation, payment authorization, inventory reservation, notification handling, resilience, and end-to-end asynchronous flows.</t>
  </si>
  <si>
    <t>About This Workbook</t>
  </si>
  <si>
    <t>Open each module sheet and update Status and Notes during execution. Summary KPIs and module counts refresh automatically. Use RTM and Automation Map tabs to show coverage during interviews and portfolio reviews.</t>
  </si>
  <si>
    <t>This workbook demonstrates a structured QA approach for utilities transformation programmes covering meter reading, device management, billing, invoicing, customer accounts, integrations, resilience, and end-to-end meter-to-cash validation.</t>
  </si>
  <si>
    <t>These are portfolio-ready sample QA scenarios designed to demonstrate senior-level event-driven testing strategy. Tailor the message broker, payload contract, retry logic, and final-state rules to your target system.</t>
  </si>
  <si>
    <t>Default status</t>
  </si>
  <si>
    <t>Not Run</t>
  </si>
  <si>
    <t>Portfolio Highlights</t>
  </si>
  <si>
    <t>High</t>
  </si>
  <si>
    <t>• SAP IS-U style domain coverage: billing, invoicing, meter reading, device management, customer accounts</t>
  </si>
  <si>
    <t>Backend / Event-Driven Platform QA</t>
  </si>
  <si>
    <t>• SIT, UAT, regression, integration, and end-to-end validation scenarios</t>
  </si>
  <si>
    <t>API -&gt; Event Broker -&gt; Payment -&gt; Inventory -&gt; Notification -&gt; Audit/DB</t>
  </si>
  <si>
    <t>• RTM and automation mapping included for recruiter and interview discussions</t>
  </si>
  <si>
    <t>Event integrity, idempotency, sequencing, retries, dead-letter handling, eventual consistency, and final-state reconciliation</t>
  </si>
  <si>
    <t>This is a personal simulation portfolio created to show testing approach and utilities-domain understanding. It does not contain proprietary SAP assets or client data.</t>
  </si>
  <si>
    <t>SAP IS-U Utilities Transformation - Manual Test Case Tracker</t>
  </si>
  <si>
    <t>Manual QA test suite for a utilities transformation programme using SAP IS-U style meter-to-cash workflows, adapted to the OpenMRS-style multi-tab execution tracker structure.</t>
  </si>
  <si>
    <t>Workbook Controls</t>
  </si>
  <si>
    <t>Default Status</t>
  </si>
  <si>
    <t>Default Priority</t>
  </si>
  <si>
    <t>Portfolio Owner</t>
  </si>
  <si>
    <t>Ramon Tan Jr</t>
  </si>
  <si>
    <t>Primary Domain</t>
  </si>
  <si>
    <t>Utilities / SAP IS-U Style QA</t>
  </si>
  <si>
    <t>Module Coverage</t>
  </si>
  <si>
    <t>Module</t>
  </si>
  <si>
    <t>Sheet Name</t>
  </si>
  <si>
    <t>Total Cases</t>
  </si>
  <si>
    <t>High Priority</t>
  </si>
  <si>
    <t>Risk Cases</t>
  </si>
  <si>
    <t>Automation Candidates</t>
  </si>
  <si>
    <t>Meter Reading</t>
  </si>
  <si>
    <t>10_Meter_Reading</t>
  </si>
  <si>
    <t>Device Management</t>
  </si>
  <si>
    <t>20_Device_Management</t>
  </si>
  <si>
    <t>Billing &amp; Invoicing</t>
  </si>
  <si>
    <t>30_Billing_Invoicing</t>
  </si>
  <si>
    <t>Customer Accounts</t>
  </si>
  <si>
    <t>40_Customer_Accounts</t>
  </si>
  <si>
    <t>Error Handling &amp; Resilience</t>
  </si>
  <si>
    <t>50_Error_Handling_Resilience</t>
  </si>
  <si>
    <t>End-to-End Meter-to-Cash</t>
  </si>
  <si>
    <t>60_E2E_Meter_to_Cash</t>
  </si>
  <si>
    <t>Total</t>
  </si>
  <si>
    <t>Execution Status</t>
  </si>
  <si>
    <t>Status</t>
  </si>
  <si>
    <t>Count</t>
  </si>
  <si>
    <t>Metric</t>
  </si>
  <si>
    <t>Value</t>
  </si>
  <si>
    <t>Total Test Cases</t>
  </si>
  <si>
    <t>Pass</t>
  </si>
  <si>
    <t>Executed Cases</t>
  </si>
  <si>
    <t>Fail</t>
  </si>
  <si>
    <t>Execution %</t>
  </si>
  <si>
    <t>Blocked</t>
  </si>
  <si>
    <t>Pass Rate</t>
  </si>
  <si>
    <t>Fail Rate</t>
  </si>
  <si>
    <t>Update the Status and Notes columns during execution. Summary KPIs and counts refresh automatically.</t>
  </si>
  <si>
    <t>TC_ID</t>
  </si>
  <si>
    <t>Scenario</t>
  </si>
  <si>
    <t>Preconditions</t>
  </si>
  <si>
    <t>Steps</t>
  </si>
  <si>
    <t>Test Data</t>
  </si>
  <si>
    <t>Expected Result</t>
  </si>
  <si>
    <t>Priority</t>
  </si>
  <si>
    <t>Type</t>
  </si>
  <si>
    <t>Automation Candidate</t>
  </si>
  <si>
    <t>Notes</t>
  </si>
  <si>
    <t>MR-001</t>
  </si>
  <si>
    <t>Valid interval meter reading is accepted and stored for billing</t>
  </si>
  <si>
    <t>Meter is active and scheduled read window is open</t>
  </si>
  <si>
    <t>1. Submit valid reading for active meter
2. Review response and stored read record
3. Confirm read timestamp and source channel</t>
  </si>
  <si>
    <t>meterId=MTR-1001; readValue=1250.45 kWh; readType=Actual</t>
  </si>
  <si>
    <t>Reading is accepted, stored successfully, and marked eligible for downstream billing validation</t>
  </si>
  <si>
    <t>Critical</t>
  </si>
  <si>
    <t>Positive</t>
  </si>
  <si>
    <t>Yes</t>
  </si>
  <si>
    <t>Core happy path</t>
  </si>
  <si>
    <t>MR-002</t>
  </si>
  <si>
    <t>Estimated read is flagged correctly when actual read is unavailable</t>
  </si>
  <si>
    <t>Meter is active and estimation rule is configured</t>
  </si>
  <si>
    <t>1. Trigger estimated read generation
2. Review read classification and audit trail</t>
  </si>
  <si>
    <t>meterId=MTR-1002; estimated read</t>
  </si>
  <si>
    <t>System records estimated read with correct indicator and audit details</t>
  </si>
  <si>
    <t>Edge</t>
  </si>
  <si>
    <t>No</t>
  </si>
  <si>
    <t>Estimation handling</t>
  </si>
  <si>
    <t>MR-003</t>
  </si>
  <si>
    <t>Duplicate meter reading does not create duplicate consumption records</t>
  </si>
  <si>
    <t>Idempotency or duplicate detection rule is available</t>
  </si>
  <si>
    <t>1. Submit same read twice for same meter/date
2. Review stored records</t>
  </si>
  <si>
    <t>same meterId/date/value</t>
  </si>
  <si>
    <t>System prevents duplicate consumption record creation and logs duplicate attempt</t>
  </si>
  <si>
    <t>Idempotency control</t>
  </si>
  <si>
    <t>MR-004</t>
  </si>
  <si>
    <t>Out-of-range reading is rejected or sent for exception handling</t>
  </si>
  <si>
    <t>Validation rules are configured</t>
  </si>
  <si>
    <t>1. Submit abnormally high read
2. Review validation response and exception queue</t>
  </si>
  <si>
    <t>meterId=MTR-1003; readValue=999999</t>
  </si>
  <si>
    <t>Reading is rejected or routed to exception handling without affecting billable data</t>
  </si>
  <si>
    <t>Negative</t>
  </si>
  <si>
    <t>Validation guardrail</t>
  </si>
  <si>
    <t>MR-005</t>
  </si>
  <si>
    <t>Missing required meter identifier prevents read acceptance</t>
  </si>
  <si>
    <t>API or upload channel is available</t>
  </si>
  <si>
    <t>1. Submit read without meterId
2. Review response</t>
  </si>
  <si>
    <t>readValue=145.00 without meterId</t>
  </si>
  <si>
    <t>Request is rejected with validation error and no billing record is created</t>
  </si>
  <si>
    <t>Mandatory field validation</t>
  </si>
  <si>
    <t>MR-006</t>
  </si>
  <si>
    <t>Read audit trail preserves source, timestamp, and status</t>
  </si>
  <si>
    <t>Audit/log storage is available</t>
  </si>
  <si>
    <t>1. Submit valid and invalid reads
2. Review audit entries</t>
  </si>
  <si>
    <t>actual and invalid samples</t>
  </si>
  <si>
    <t>Audit captures meterId, source, read type, validation result, and timestamps for traceability</t>
  </si>
  <si>
    <t>Medium</t>
  </si>
  <si>
    <t>Operational visibility</t>
  </si>
  <si>
    <t>DM-001</t>
  </si>
  <si>
    <t>Device installation update is reflected correctly in customer-premise data</t>
  </si>
  <si>
    <t>Device master and premise records exist</t>
  </si>
  <si>
    <t>1. Register installed meter device
2. Review device-premise association</t>
  </si>
  <si>
    <t>deviceId=DEV-2001; premiseId=PRM-001</t>
  </si>
  <si>
    <t>Device is linked correctly to premise and available for future reads and billing</t>
  </si>
  <si>
    <t>Master data flow</t>
  </si>
  <si>
    <t>DM-002</t>
  </si>
  <si>
    <t>Meter exchange preserves continuity of billing-relevant data</t>
  </si>
  <si>
    <t>Old and new devices are available</t>
  </si>
  <si>
    <t>1. Perform meter exchange
2. Review final device state and read continuity</t>
  </si>
  <si>
    <t>oldDevice=DEV-OLD; newDevice=DEV-NEW</t>
  </si>
  <si>
    <t>Old device is retired, new device is active, and continuity data is preserved for billing</t>
  </si>
  <si>
    <t>Common utilities scenario</t>
  </si>
  <si>
    <t>DM-003</t>
  </si>
  <si>
    <t>Inactive or removed device cannot accept new billable reads</t>
  </si>
  <si>
    <t>Inactive device record exists</t>
  </si>
  <si>
    <t>1. Submit read for removed device
2. Review result</t>
  </si>
  <si>
    <t>deviceStatus=Removed</t>
  </si>
  <si>
    <t>System rejects read or flags it as invalid for billing processing</t>
  </si>
  <si>
    <t>Lifecycle validation</t>
  </si>
  <si>
    <t>DM-004</t>
  </si>
  <si>
    <t>Device status change is propagated to downstream systems/interfaces</t>
  </si>
  <si>
    <t>Integration to downstream systems is enabled</t>
  </si>
  <si>
    <t>1. Update device status
2. Check interface messages/logs</t>
  </si>
  <si>
    <t>device status change Active-&gt;Inactive</t>
  </si>
  <si>
    <t>Status update is reflected consistently across integrated systems without mismatch</t>
  </si>
  <si>
    <t>Integration coverage</t>
  </si>
  <si>
    <t>DM-005</t>
  </si>
  <si>
    <t>Unsupported device attributes are validated before save</t>
  </si>
  <si>
    <t>Device master maintenance is available</t>
  </si>
  <si>
    <t>1. Submit invalid device configuration
2. Review validation</t>
  </si>
  <si>
    <t>unsupported register/profile setup</t>
  </si>
  <si>
    <t>System prevents invalid device configuration from being saved</t>
  </si>
  <si>
    <t>Configuration control</t>
  </si>
  <si>
    <t>DM-006</t>
  </si>
  <si>
    <t>Device audit trail captures install, exchange, and status events</t>
  </si>
  <si>
    <t>Audit/log storage is enabled</t>
  </si>
  <si>
    <t>1. Perform install/exchange/status change
2. Review logs</t>
  </si>
  <si>
    <t>install + exchange + status samples</t>
  </si>
  <si>
    <t>Audit history preserves who changed the device, when, and what action was taken</t>
  </si>
  <si>
    <t>Traceability</t>
  </si>
  <si>
    <t>BI-001</t>
  </si>
  <si>
    <t>Valid consumption is billed correctly using active tariff</t>
  </si>
  <si>
    <t>Billable reads and tariff are available</t>
  </si>
  <si>
    <t>1. Trigger billing for active account
2. Review bill line items and total</t>
  </si>
  <si>
    <t>accountId=ACC-3001; consumption=350 kWh; tariff=Residential-A</t>
  </si>
  <si>
    <t>Bill is calculated correctly with expected consumption charges, taxes, and total amount</t>
  </si>
  <si>
    <t>BI-002</t>
  </si>
  <si>
    <t>Zero consumption applies minimum charge rules correctly</t>
  </si>
  <si>
    <t>Minimum charge rule is configured</t>
  </si>
  <si>
    <t>1. Trigger billing for zero usage account
2. Review billed amount</t>
  </si>
  <si>
    <t>consumption=0 kWh</t>
  </si>
  <si>
    <t>System applies configured minimum charge or zero-bill rule correctly</t>
  </si>
  <si>
    <t>Boundary scenario</t>
  </si>
  <si>
    <t>BI-003</t>
  </si>
  <si>
    <t>Backdated adjustment rebills the account correctly without duplicate invoicing</t>
  </si>
  <si>
    <t>Rebilling scenario is enabled</t>
  </si>
  <si>
    <t>1. Post corrected read
2. Run rebill
3. Review previous and adjusted invoice records</t>
  </si>
  <si>
    <t>corrected read for prior period</t>
  </si>
  <si>
    <t>Rebill adjusts financial result accurately and preserves audit history without duplicate final invoice</t>
  </si>
  <si>
    <t>Recovery</t>
  </si>
  <si>
    <t>Billing correction</t>
  </si>
  <si>
    <t>BI-004</t>
  </si>
  <si>
    <t>Invalid tariff assignment prevents incorrect bill calculation</t>
  </si>
  <si>
    <t>Account exists with bad tariff setup</t>
  </si>
  <si>
    <t>1. Trigger billing with invalid tariff
2. Review errors and output</t>
  </si>
  <si>
    <t>tariffCode=INVALID</t>
  </si>
  <si>
    <t>Billing run fails safely or routes to exception handling without generating incorrect invoice</t>
  </si>
  <si>
    <t>Financial control</t>
  </si>
  <si>
    <t>BI-005</t>
  </si>
  <si>
    <t>Invoice output contains correct account, period, charges, tax, and due date</t>
  </si>
  <si>
    <t>Invoice generation template is configured</t>
  </si>
  <si>
    <t>1. Generate invoice
2. Compare output fields with expected billing data</t>
  </si>
  <si>
    <t>valid bill document</t>
  </si>
  <si>
    <t>Invoice displays correct customer/account details, billing period, charges, taxes, and due date</t>
  </si>
  <si>
    <t>Output validation</t>
  </si>
  <si>
    <t>BI-006</t>
  </si>
  <si>
    <t>Billing audit trail supports reconciliation between reads, bill document, and invoice</t>
  </si>
  <si>
    <t>Billing logs/tables are available</t>
  </si>
  <si>
    <t>1. Run standard and error scenarios
2. Review linkage across billing artifacts</t>
  </si>
  <si>
    <t>happy path + invalid tariff</t>
  </si>
  <si>
    <t>Billing artifacts remain traceable from source read through bill document and invoice</t>
  </si>
  <si>
    <t>Reconciliation support</t>
  </si>
  <si>
    <t>CA-001</t>
  </si>
  <si>
    <t>New customer account is created with valid premise and contract data</t>
  </si>
  <si>
    <t>Customer creation process is available</t>
  </si>
  <si>
    <t>1. Create new account and service contract
2. Review master data</t>
  </si>
  <si>
    <t>customerId=CUST-4001; premiseId=PRM-001</t>
  </si>
  <si>
    <t>Customer account, contract, and service association are created successfully</t>
  </si>
  <si>
    <t>Account setup</t>
  </si>
  <si>
    <t>CA-002</t>
  </si>
  <si>
    <t>Move-in process starts billing responsibility on correct date</t>
  </si>
  <si>
    <t>Move-in scenario is configured</t>
  </si>
  <si>
    <t>1. Process move-in
2. Review contract dates and billing start</t>
  </si>
  <si>
    <t>moveInDate=2026-04-01</t>
  </si>
  <si>
    <t>Billing responsibility begins on correct effective date without overlap</t>
  </si>
  <si>
    <t>Meter-to-cash lifecycle</t>
  </si>
  <si>
    <t>CA-003</t>
  </si>
  <si>
    <t>Move-out process ends billing correctly and prevents future charges</t>
  </si>
  <si>
    <t>Move-out scenario is configured</t>
  </si>
  <si>
    <t>1. Process move-out
2. Review final bill eligibility and contract status</t>
  </si>
  <si>
    <t>moveOutDate=2026-04-15</t>
  </si>
  <si>
    <t>Account is closed or updated correctly and no further regular charges accrue after move-out</t>
  </si>
  <si>
    <t>Customer lifecycle</t>
  </si>
  <si>
    <t>CA-004</t>
  </si>
  <si>
    <t>Account with invalid premise linkage is prevented from billing setup</t>
  </si>
  <si>
    <t>Validation rules exist</t>
  </si>
  <si>
    <t>1. Create account with invalid premise
2. Review result</t>
  </si>
  <si>
    <t>premiseId invalid</t>
  </si>
  <si>
    <t>System rejects invalid premise linkage before billing setup completes</t>
  </si>
  <si>
    <t>Master data validation</t>
  </si>
  <si>
    <t>CA-005</t>
  </si>
  <si>
    <t>Payment posting updates outstanding balance correctly</t>
  </si>
  <si>
    <t>Open invoice exists</t>
  </si>
  <si>
    <t>1. Post payment
2. Review account balance and clearing status</t>
  </si>
  <si>
    <t>invoice=INV-4001; payment=150.00</t>
  </si>
  <si>
    <t>Outstanding balance is reduced correctly and account reflects accurate payment status</t>
  </si>
  <si>
    <t>Financial reconciliation</t>
  </si>
  <si>
    <t>CA-006</t>
  </si>
  <si>
    <t>Customer communication preferences flow to billing and notification outputs</t>
  </si>
  <si>
    <t>Communication preferences are maintained</t>
  </si>
  <si>
    <t>1. Update delivery preference
2. Generate invoice/notification</t>
  </si>
  <si>
    <t>email delivery preference</t>
  </si>
  <si>
    <t>System uses stored communication preference consistently in customer-facing outputs</t>
  </si>
  <si>
    <t>Customer experience</t>
  </si>
  <si>
    <t>ERR-001</t>
  </si>
  <si>
    <t>Malformed inbound meter data is routed to exception handling without corrupting billable data</t>
  </si>
  <si>
    <t>Exception handling path is configured</t>
  </si>
  <si>
    <t>1. Submit malformed meter payload
2. Review logs/exception queue</t>
  </si>
  <si>
    <t>bad JSON / invalid datatype</t>
  </si>
  <si>
    <t>Invalid payload is isolated safely and valid billing data remains unaffected</t>
  </si>
  <si>
    <t>Advanced scenario</t>
  </si>
  <si>
    <t>ERR-002</t>
  </si>
  <si>
    <t>Partial integration outage is detected and retried without duplicate final billing state</t>
  </si>
  <si>
    <t>Retry logic exists for external dependency</t>
  </si>
  <si>
    <t>1. Simulate temporary interface timeout
2. Allow retry
3. Review final state</t>
  </si>
  <si>
    <t>temporary timeout during billing interface</t>
  </si>
  <si>
    <t>Retry succeeds or fails cleanly without duplicate bills or corrupted account state</t>
  </si>
  <si>
    <t>Resilience control</t>
  </si>
  <si>
    <t>ERR-003</t>
  </si>
  <si>
    <t>Data migration load rejects incomplete customer or device records</t>
  </si>
  <si>
    <t>Migration validation rules are defined</t>
  </si>
  <si>
    <t>1. Load incomplete migration file
2. Review validation results</t>
  </si>
  <si>
    <t>missing contract/device mapping</t>
  </si>
  <si>
    <t>Invalid records are rejected or flagged for correction before cutover</t>
  </si>
  <si>
    <t>Migration quality</t>
  </si>
  <si>
    <t>ERR-004</t>
  </si>
  <si>
    <t>Cutover reconciliation identifies mismatched balances between legacy and target systems</t>
  </si>
  <si>
    <t>Cutover report is available</t>
  </si>
  <si>
    <t>1. Compare legacy and target account balances
2. Review exceptions</t>
  </si>
  <si>
    <t>sample legacy vs target balances</t>
  </si>
  <si>
    <t>Mismatches are highlighted clearly for remediation before go-live</t>
  </si>
  <si>
    <t>Go-live support</t>
  </si>
  <si>
    <t>ERR-005</t>
  </si>
  <si>
    <t>Batch billing delay is detected within monitoring threshold</t>
  </si>
  <si>
    <t>Monitoring or SLA threshold is defined</t>
  </si>
  <si>
    <t>1. Delay billing batch processing
2. Review alert/monitoring output</t>
  </si>
  <si>
    <t>delayed billing job</t>
  </si>
  <si>
    <t>Delay is surfaced within expected monitoring window and operational teams can respond</t>
  </si>
  <si>
    <t>Operational monitoring</t>
  </si>
  <si>
    <t>E2E-001</t>
  </si>
  <si>
    <t>Happy path completes from meter read to posted invoice and customer balance</t>
  </si>
  <si>
    <t>All core services and master data are available</t>
  </si>
  <si>
    <t>1. Capture valid read
2. Validate bill creation
3. Generate invoice
4. Review customer account balance</t>
  </si>
  <si>
    <t>valid residential account</t>
  </si>
  <si>
    <t>Meter read, billing, invoice, and account balance are processed successfully with consistent data</t>
  </si>
  <si>
    <t>Showcase scenario</t>
  </si>
  <si>
    <t>E2E-002</t>
  </si>
  <si>
    <t>Invalid read prevents downstream bill generation and invoice output</t>
  </si>
  <si>
    <t>Read validation scenario is available</t>
  </si>
  <si>
    <t>1. Submit invalid read
2. Review downstream artifacts</t>
  </si>
  <si>
    <t>out-of-range read</t>
  </si>
  <si>
    <t>No incorrect bill or invoice is created and exception is recorded clearly</t>
  </si>
  <si>
    <t>Critical control</t>
  </si>
  <si>
    <t>E2E-003</t>
  </si>
  <si>
    <t>Meter exchange before billing maintains correct consumption continuity and bill outcome</t>
  </si>
  <si>
    <t>Meter exchange scenario is available</t>
  </si>
  <si>
    <t>1. Exchange meter mid-cycle
2. Trigger billing
3. Review invoice</t>
  </si>
  <si>
    <t>old/new meter mid-cycle</t>
  </si>
  <si>
    <t>Consumption continuity is maintained correctly and billing reflects valid combined usage</t>
  </si>
  <si>
    <t>Real-world utilities case</t>
  </si>
  <si>
    <t>E2E-004</t>
  </si>
  <si>
    <t>Move-out final bill is generated correctly with accurate account closure state</t>
  </si>
  <si>
    <t>Move-out and final bill flow is configured</t>
  </si>
  <si>
    <t>1. Process move-out
2. Generate final bill
3. Review account status</t>
  </si>
  <si>
    <t>moveOutDate within billing period</t>
  </si>
  <si>
    <t>Final bill is accurate and customer account reaches correct closure or final-state status</t>
  </si>
  <si>
    <t>Lifecycle coverage</t>
  </si>
  <si>
    <t>E2E-005</t>
  </si>
  <si>
    <t>Data reconciliation confirms consistency between source reads, billing documents, invoices, and balances</t>
  </si>
  <si>
    <t>Audit/reporting tables are available</t>
  </si>
  <si>
    <t>1. Run success and error scenarios
2. Compare artifacts across stages</t>
  </si>
  <si>
    <t>mixed scenarios</t>
  </si>
  <si>
    <t>Source reads, bill documents, invoice values, and account balances reconcile for each account</t>
  </si>
  <si>
    <t>Data reconciliation</t>
  </si>
  <si>
    <t>E2E-006</t>
  </si>
  <si>
    <t>Cutover sample data behaves correctly after go-live smoke validation</t>
  </si>
  <si>
    <t>Migrated sample records are available</t>
  </si>
  <si>
    <t>1. Select migrated accounts
2. Run post-go-live smoke checks</t>
  </si>
  <si>
    <t>sample migrated accounts</t>
  </si>
  <si>
    <t>Migrated accounts can read, bill, invoice, and display balances correctly after cutover</t>
  </si>
  <si>
    <t>Go-live readiness</t>
  </si>
  <si>
    <t>Traceability view linking SAP IS-U style utilities requirements to manual test coverage. Use this sheet in interviews to show structured QA thinking, domain mapping, and coverage.</t>
  </si>
  <si>
    <t>REQ_ID</t>
  </si>
  <si>
    <t>Requirement Area</t>
  </si>
  <si>
    <t>Requirement Description</t>
  </si>
  <si>
    <t>Linked Test Cases</t>
  </si>
  <si>
    <t>Coverage Status</t>
  </si>
  <si>
    <t>Owner</t>
  </si>
  <si>
    <t>Reviewed</t>
  </si>
  <si>
    <t>REQ-001</t>
  </si>
  <si>
    <t>System must accept valid reads, reject invalid reads, and preserve read auditability</t>
  </si>
  <si>
    <t>MR-001, MR-004, MR-005, MR-006, E2E-001, E2E-002</t>
  </si>
  <si>
    <t>Covered</t>
  </si>
  <si>
    <t>Includes intake validation and traceability</t>
  </si>
  <si>
    <t>QA</t>
  </si>
  <si>
    <t>REQ-002</t>
  </si>
  <si>
    <t>Device lifecycle changes must maintain valid premise linkage and billing continuity</t>
  </si>
  <si>
    <t>DM-001, DM-002, DM-003, DM-004, E2E-003</t>
  </si>
  <si>
    <t>Covers installation, exchange, and downstream propagation</t>
  </si>
  <si>
    <t>REQ-003</t>
  </si>
  <si>
    <t>Billing must calculate correct charges and prevent incorrect invoice generation on invalid setup</t>
  </si>
  <si>
    <t>BI-001, BI-002, BI-003, BI-004, BI-005, BI-006</t>
  </si>
  <si>
    <t>Financial integrity and rebilling included</t>
  </si>
  <si>
    <t>REQ-004</t>
  </si>
  <si>
    <t>Customer lifecycle events must drive correct billing start, stop, and payment balance behavior</t>
  </si>
  <si>
    <t>CA-001, CA-002, CA-003, CA-004, CA-005, CA-006, E2E-004</t>
  </si>
  <si>
    <t>Account setup to closure lifecycle</t>
  </si>
  <si>
    <t>REQ-005</t>
  </si>
  <si>
    <t>Resilience &amp; Migration</t>
  </si>
  <si>
    <t>System must isolate bad data, survive outages, and support cutover/migration validation</t>
  </si>
  <si>
    <t>ERR-001, ERR-002, ERR-003, ERR-004, ERR-005, E2E-006</t>
  </si>
  <si>
    <t>Strong interview talking point</t>
  </si>
  <si>
    <t>REQ-006</t>
  </si>
  <si>
    <t>Source reads, bills, invoices, and balances must reconcile across the full workflow</t>
  </si>
  <si>
    <t>E2E-001, E2E-005</t>
  </si>
  <si>
    <t>Core meter-to-cash value chain</t>
  </si>
  <si>
    <t>Automation planning view showing which SAP IS-U style utilities scenarios are best candidates for API, integration, data validation, and end-to-end automation.</t>
  </si>
  <si>
    <t>Automation Layer</t>
  </si>
  <si>
    <t>Recommended Tool</t>
  </si>
  <si>
    <t>Why Automate</t>
  </si>
  <si>
    <t>Valid interval meter reading is accepted and stored</t>
  </si>
  <si>
    <t>API + Data</t>
  </si>
  <si>
    <t>Postman + Node.js/Jest</t>
  </si>
  <si>
    <t>Core read intake and data quality validation</t>
  </si>
  <si>
    <t>Planned</t>
  </si>
  <si>
    <t>Smoke candidate</t>
  </si>
  <si>
    <t>Duplicate meter reading does not create duplicate records</t>
  </si>
  <si>
    <t>Integration</t>
  </si>
  <si>
    <t>Node.js/Jest + fixture replay</t>
  </si>
  <si>
    <t>Demonstrates idempotency and financial risk control</t>
  </si>
  <si>
    <t>High-value scenario</t>
  </si>
  <si>
    <t>Meter exchange preserves continuity of billing data</t>
  </si>
  <si>
    <t>Playwright/API hybrid or Node.js/Jest</t>
  </si>
  <si>
    <t>Strong utilities-domain showcase</t>
  </si>
  <si>
    <t>Complex real-world case</t>
  </si>
  <si>
    <t>API + Data Validation</t>
  </si>
  <si>
    <t>Postman + CSV comparison script</t>
  </si>
  <si>
    <t>Core financial calculation path</t>
  </si>
  <si>
    <t>Billing regression</t>
  </si>
  <si>
    <t>Backdated adjustment rebills correctly</t>
  </si>
  <si>
    <t>Integration + Data</t>
  </si>
  <si>
    <t>Node.js/Jest + reconciliation script</t>
  </si>
  <si>
    <t>Shows rebill and audit understanding</t>
  </si>
  <si>
    <t>Payment posting updates outstanding balance</t>
  </si>
  <si>
    <t>Postman + SQL/CSV comparison</t>
  </si>
  <si>
    <t>Important reconciliation control</t>
  </si>
  <si>
    <t>Customer account accuracy</t>
  </si>
  <si>
    <t>Happy path completes from meter read to posted invoice</t>
  </si>
  <si>
    <t>End-to-End</t>
  </si>
  <si>
    <t>Playwright/API hybrid + validation script</t>
  </si>
  <si>
    <t>Strongest recruiter demo of meter-to-cash understanding</t>
  </si>
  <si>
    <t>Top portfolio scenario</t>
  </si>
  <si>
    <t>Migrated sample data behaves correctly after go-live smoke validation</t>
  </si>
  <si>
    <t>Smoke / Cutover</t>
  </si>
  <si>
    <t>Postman + checklist automation</t>
  </si>
  <si>
    <t>Supports go-live and cutover conversations</t>
  </si>
  <si>
    <t>Programme delivery focus</t>
  </si>
  <si>
    <t>Manual QA portfolio and test pack inspired by SAP IS-U utilities workflows with multi-tab execution tracker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</si>
</sst>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rgb="FFFFFFFF"/>
      <name val="Calibri"/>
    </font>
    <font>
      <b/>
      <sz val="11"/>
      <name val="Calibri"/>
    </font>
    <font>
      <sz val="12"/>
      <color theme="10"/>
      <name val="Calibri"/>
      <family val="2"/>
      <scheme val="minor"/>
    </font>
    <font>
      <i/>
      <sz val="11"/>
      <color rgb="FF7F6000"/>
      <name val="Calibri"/>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E7E6E6"/>
      </patternFill>
    </fill>
    <fill>
      <patternFill patternType="solid">
        <fgColor rgb="FFEAF3FF"/>
      </patternFill>
    </fill>
    <fill>
      <patternFill patternType="solid">
        <fgColor rgb="FFE2F0D9"/>
      </patternFill>
    </fill>
    <fill>
      <patternFill patternType="solid">
        <fgColor rgb="FFFCE4D6"/>
      </patternFill>
    </fill>
    <fill>
      <patternFill patternType="solid">
        <fgColor theme="3" tint="0.7999816888943144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2">
    <xf numFmtId="0" fontId="0" fillId="0" borderId="0"/>
    <xf numFmtId="0" fontId="3" fillId="0" borderId="0"/>
  </cellStyleXfs>
  <cellXfs count="34">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0" borderId="1" xfId="0" applyFont="1" applyBorder="1"/>
    <xf numFmtId="0" fontId="0" fillId="0" borderId="1" xfId="0" applyBorder="1"/>
    <xf numFmtId="0" fontId="1" fillId="2" borderId="1" xfId="0" applyFont="1" applyFill="1" applyBorder="1" applyAlignment="1">
      <alignment horizontal="center" vertical="center" wrapText="1"/>
    </xf>
    <xf numFmtId="0" fontId="3" fillId="0" borderId="1" xfId="1" applyBorder="1" applyAlignment="1">
      <alignment vertical="top" wrapText="1"/>
    </xf>
    <xf numFmtId="1" fontId="0" fillId="0" borderId="1" xfId="0" applyNumberFormat="1" applyBorder="1" applyAlignment="1">
      <alignment horizontal="center" vertical="center"/>
    </xf>
    <xf numFmtId="0" fontId="2" fillId="3" borderId="1" xfId="0" applyFont="1" applyFill="1" applyBorder="1" applyAlignment="1">
      <alignment vertical="top" wrapText="1"/>
    </xf>
    <xf numFmtId="0" fontId="0" fillId="3" borderId="1" xfId="0" applyFill="1" applyBorder="1" applyAlignment="1">
      <alignment vertical="top" wrapText="1"/>
    </xf>
    <xf numFmtId="1" fontId="2" fillId="0" borderId="1" xfId="0" applyNumberFormat="1" applyFont="1" applyBorder="1" applyAlignment="1">
      <alignment horizontal="center" vertical="center"/>
    </xf>
    <xf numFmtId="0" fontId="2" fillId="5" borderId="1" xfId="0" applyFont="1" applyFill="1" applyBorder="1" applyAlignment="1">
      <alignment vertical="top" wrapText="1"/>
    </xf>
    <xf numFmtId="0" fontId="0" fillId="6" borderId="1" xfId="0" applyFill="1" applyBorder="1" applyAlignment="1">
      <alignment horizontal="center" vertical="center"/>
    </xf>
    <xf numFmtId="0" fontId="2" fillId="7" borderId="1" xfId="0" applyFont="1" applyFill="1" applyBorder="1" applyAlignment="1">
      <alignment vertical="top" wrapText="1"/>
    </xf>
    <xf numFmtId="0" fontId="2" fillId="8" borderId="1" xfId="0" applyFont="1" applyFill="1" applyBorder="1" applyAlignment="1">
      <alignment vertical="top" wrapText="1"/>
    </xf>
    <xf numFmtId="164" fontId="0" fillId="6" borderId="1" xfId="0" applyNumberFormat="1" applyFill="1" applyBorder="1" applyAlignment="1">
      <alignment horizontal="center" vertical="center"/>
    </xf>
    <xf numFmtId="0" fontId="2" fillId="4" borderId="1" xfId="0" applyFont="1" applyFill="1" applyBorder="1" applyAlignment="1">
      <alignment vertical="top" wrapText="1"/>
    </xf>
    <xf numFmtId="0" fontId="0" fillId="0" borderId="1" xfId="0" applyBorder="1" applyAlignment="1">
      <alignment horizontal="center" vertical="center"/>
    </xf>
    <xf numFmtId="0" fontId="2" fillId="0" borderId="1" xfId="0" applyFont="1" applyBorder="1" applyAlignment="1">
      <alignment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vertical="top" wrapText="1"/>
    </xf>
    <xf numFmtId="0" fontId="0" fillId="0" borderId="1" xfId="0" applyBorder="1" applyAlignment="1">
      <alignment vertical="top" wrapText="1"/>
    </xf>
    <xf numFmtId="0" fontId="0" fillId="0" borderId="2" xfId="0" applyBorder="1"/>
    <xf numFmtId="0" fontId="2" fillId="3" borderId="1" xfId="0" applyFont="1" applyFill="1" applyBorder="1"/>
    <xf numFmtId="0" fontId="0" fillId="0" borderId="3" xfId="0" applyBorder="1"/>
    <xf numFmtId="0" fontId="1" fillId="2" borderId="0" xfId="0" applyFont="1" applyFill="1" applyAlignment="1">
      <alignment horizontal="left" vertical="center"/>
    </xf>
    <xf numFmtId="0" fontId="0" fillId="0" borderId="0" xfId="0"/>
    <xf numFmtId="0" fontId="0" fillId="0" borderId="0" xfId="0" applyAlignment="1">
      <alignment vertical="top" wrapText="1"/>
    </xf>
    <xf numFmtId="0" fontId="4" fillId="4" borderId="0" xfId="0" applyFont="1" applyFill="1" applyAlignment="1">
      <alignment vertical="top" wrapText="1"/>
    </xf>
    <xf numFmtId="0" fontId="0" fillId="0" borderId="0" xfId="0" applyAlignment="1">
      <alignment wrapText="1"/>
    </xf>
    <xf numFmtId="0" fontId="2" fillId="3" borderId="1" xfId="0" applyFont="1" applyFill="1" applyBorder="1" applyAlignment="1">
      <alignment wrapText="1"/>
    </xf>
    <xf numFmtId="0" fontId="0" fillId="9" borderId="0" xfId="0" applyFill="1" applyAlignment="1"/>
    <xf numFmtId="0" fontId="0" fillId="9" borderId="0" xfId="0" applyFill="1"/>
  </cellXfs>
  <cellStyles count="2">
    <cellStyle name="Hyperlink" xfId="1" xr:uid="{00000000-0005-0000-0000-000001000000}"/>
    <cellStyle name="Normal" xfId="0" builtinId="0"/>
  </cellStyles>
  <dxfs count="24">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showGridLines="0" tabSelected="1" workbookViewId="0">
      <selection activeCell="A21" sqref="A21"/>
    </sheetView>
  </sheetViews>
  <sheetFormatPr defaultRowHeight="14.4" x14ac:dyDescent="0.3"/>
  <cols>
    <col min="1" max="1" width="100" customWidth="1"/>
    <col min="2" max="2" width="62" customWidth="1"/>
    <col min="3" max="3" width="42" customWidth="1"/>
  </cols>
  <sheetData>
    <row r="1" spans="1:3" ht="22.05" customHeight="1" x14ac:dyDescent="0.3">
      <c r="A1" s="26" t="s">
        <v>0</v>
      </c>
      <c r="B1" s="27"/>
      <c r="C1" s="27"/>
    </row>
    <row r="2" spans="1:3" x14ac:dyDescent="0.3">
      <c r="A2" s="30" t="s">
        <v>399</v>
      </c>
    </row>
    <row r="3" spans="1:3" x14ac:dyDescent="0.3">
      <c r="A3" s="31" t="s">
        <v>1</v>
      </c>
      <c r="B3" s="22" t="s">
        <v>2</v>
      </c>
      <c r="C3" s="23"/>
    </row>
    <row r="4" spans="1:3" x14ac:dyDescent="0.3">
      <c r="A4" s="31" t="s">
        <v>3</v>
      </c>
      <c r="B4" s="22" t="s">
        <v>4</v>
      </c>
      <c r="C4" s="23"/>
    </row>
    <row r="5" spans="1:3" ht="43.2" x14ac:dyDescent="0.3">
      <c r="A5" s="31" t="s">
        <v>5</v>
      </c>
      <c r="B5" s="22" t="s">
        <v>6</v>
      </c>
      <c r="C5" s="23"/>
    </row>
    <row r="6" spans="1:3" x14ac:dyDescent="0.3">
      <c r="A6" s="31" t="s">
        <v>7</v>
      </c>
      <c r="B6" s="22" t="s">
        <v>8</v>
      </c>
      <c r="C6" s="23"/>
    </row>
    <row r="7" spans="1:3" x14ac:dyDescent="0.3">
      <c r="A7" s="31" t="s">
        <v>9</v>
      </c>
      <c r="B7" s="22" t="s">
        <v>10</v>
      </c>
      <c r="C7" s="23"/>
    </row>
    <row r="8" spans="1:3" x14ac:dyDescent="0.3">
      <c r="A8" s="31" t="s">
        <v>11</v>
      </c>
      <c r="B8" s="22" t="s">
        <v>12</v>
      </c>
      <c r="C8" s="23"/>
    </row>
    <row r="9" spans="1:3" x14ac:dyDescent="0.3">
      <c r="A9" s="31" t="s">
        <v>13</v>
      </c>
      <c r="B9" s="22" t="s">
        <v>14</v>
      </c>
      <c r="C9" s="23"/>
    </row>
    <row r="10" spans="1:3" ht="28.8" x14ac:dyDescent="0.3">
      <c r="A10" s="31" t="s">
        <v>15</v>
      </c>
      <c r="B10" s="1" t="s">
        <v>16</v>
      </c>
    </row>
    <row r="11" spans="1:3" x14ac:dyDescent="0.3">
      <c r="A11" s="32" t="s">
        <v>17</v>
      </c>
      <c r="B11" s="33"/>
      <c r="C11" s="33"/>
    </row>
  </sheetData>
  <mergeCells count="8">
    <mergeCell ref="B6:C6"/>
    <mergeCell ref="B7:C7"/>
    <mergeCell ref="A1:C1"/>
    <mergeCell ref="B3:C3"/>
    <mergeCell ref="B5:C5"/>
    <mergeCell ref="B9:C9"/>
    <mergeCell ref="B8:C8"/>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showGridLines="0" topLeftCell="A14" workbookViewId="0">
      <selection sqref="A1:F1"/>
    </sheetView>
  </sheetViews>
  <sheetFormatPr defaultRowHeight="14.4" x14ac:dyDescent="0.3"/>
  <cols>
    <col min="1" max="2" width="24" customWidth="1"/>
    <col min="3" max="5" width="14" customWidth="1"/>
    <col min="6" max="6" width="20" customWidth="1"/>
  </cols>
  <sheetData>
    <row r="1" spans="1:6" ht="22.05" customHeight="1" x14ac:dyDescent="0.3">
      <c r="A1" s="26" t="s">
        <v>18</v>
      </c>
      <c r="B1" s="27"/>
      <c r="C1" s="27"/>
      <c r="D1" s="27"/>
      <c r="E1" s="27"/>
      <c r="F1" s="27"/>
    </row>
    <row r="2" spans="1:6" x14ac:dyDescent="0.3">
      <c r="A2" s="28" t="s">
        <v>19</v>
      </c>
      <c r="B2" s="27"/>
      <c r="C2" s="27"/>
      <c r="D2" s="27"/>
      <c r="E2" s="27"/>
      <c r="F2" s="27"/>
    </row>
    <row r="4" spans="1:6" x14ac:dyDescent="0.3">
      <c r="A4" s="24" t="s">
        <v>20</v>
      </c>
      <c r="B4" s="25"/>
      <c r="C4" s="25"/>
      <c r="D4" s="25"/>
      <c r="E4" s="25"/>
      <c r="F4" s="23"/>
    </row>
    <row r="5" spans="1:6" x14ac:dyDescent="0.3">
      <c r="A5" s="3" t="s">
        <v>21</v>
      </c>
      <c r="B5" s="4" t="s">
        <v>8</v>
      </c>
    </row>
    <row r="6" spans="1:6" x14ac:dyDescent="0.3">
      <c r="A6" s="3" t="s">
        <v>22</v>
      </c>
      <c r="B6" s="4" t="s">
        <v>10</v>
      </c>
    </row>
    <row r="7" spans="1:6" x14ac:dyDescent="0.3">
      <c r="A7" s="3" t="s">
        <v>23</v>
      </c>
      <c r="B7" s="4" t="s">
        <v>24</v>
      </c>
    </row>
    <row r="8" spans="1:6" x14ac:dyDescent="0.3">
      <c r="A8" s="3" t="s">
        <v>25</v>
      </c>
      <c r="B8" s="4" t="s">
        <v>26</v>
      </c>
    </row>
    <row r="10" spans="1:6" x14ac:dyDescent="0.3">
      <c r="A10" s="24" t="s">
        <v>27</v>
      </c>
      <c r="B10" s="25"/>
      <c r="C10" s="25"/>
      <c r="D10" s="25"/>
      <c r="E10" s="25"/>
      <c r="F10" s="23"/>
    </row>
    <row r="11" spans="1:6" ht="28.8" customHeight="1" x14ac:dyDescent="0.3">
      <c r="A11" s="5" t="s">
        <v>28</v>
      </c>
      <c r="B11" s="5" t="s">
        <v>29</v>
      </c>
      <c r="C11" s="5" t="s">
        <v>30</v>
      </c>
      <c r="D11" s="5" t="s">
        <v>31</v>
      </c>
      <c r="E11" s="5" t="s">
        <v>32</v>
      </c>
      <c r="F11" s="5" t="s">
        <v>33</v>
      </c>
    </row>
    <row r="12" spans="1:6" ht="15.6" customHeight="1" x14ac:dyDescent="0.3">
      <c r="A12" s="1" t="s">
        <v>34</v>
      </c>
      <c r="B12" s="6" t="s">
        <v>35</v>
      </c>
      <c r="C12" s="7">
        <f>COUNTA('10_Meter_Reading'!$A:$A)-2</f>
        <v>6</v>
      </c>
      <c r="D12" s="7">
        <f>COUNTIF('10_Meter_Reading'!$H:$H,"High")+COUNTIF('10_Meter_Reading'!$H:$H,"Critical")</f>
        <v>5</v>
      </c>
      <c r="E12" s="7">
        <f>COUNTIF('10_Meter_Reading'!$I:$I,"Negative")+COUNTIF('10_Meter_Reading'!$I:$I,"Edge")+COUNTIF('10_Meter_Reading'!$I:$I,"Recovery")+COUNTIF('10_Meter_Reading'!$I:$I,"Security")</f>
        <v>4</v>
      </c>
      <c r="F12" s="7">
        <f>COUNTIF('10_Meter_Reading'!$J:$J,"Yes")</f>
        <v>4</v>
      </c>
    </row>
    <row r="13" spans="1:6" ht="15.6" customHeight="1" x14ac:dyDescent="0.3">
      <c r="A13" s="1" t="s">
        <v>36</v>
      </c>
      <c r="B13" s="6" t="s">
        <v>37</v>
      </c>
      <c r="C13" s="7">
        <f>COUNTA('20_Device_Management'!$A:$A)-2</f>
        <v>6</v>
      </c>
      <c r="D13" s="7">
        <f>COUNTIF('20_Device_Management'!$H:$H,"High")+COUNTIF('20_Device_Management'!$H:$H,"Critical")</f>
        <v>4</v>
      </c>
      <c r="E13" s="7">
        <f>COUNTIF('20_Device_Management'!$I:$I,"Negative")+COUNTIF('20_Device_Management'!$I:$I,"Edge")+COUNTIF('20_Device_Management'!$I:$I,"Recovery")+COUNTIF('20_Device_Management'!$I:$I,"Security")</f>
        <v>2</v>
      </c>
      <c r="F13" s="7">
        <f>COUNTIF('20_Device_Management'!$J:$J,"Yes")</f>
        <v>3</v>
      </c>
    </row>
    <row r="14" spans="1:6" ht="15.6" customHeight="1" x14ac:dyDescent="0.3">
      <c r="A14" s="1" t="s">
        <v>38</v>
      </c>
      <c r="B14" s="6" t="s">
        <v>39</v>
      </c>
      <c r="C14" s="7">
        <f>COUNTA('30_Billing_Invoicing'!$A:$A)-2</f>
        <v>6</v>
      </c>
      <c r="D14" s="7">
        <f>COUNTIF('30_Billing_Invoicing'!$H:$H,"High")+COUNTIF('30_Billing_Invoicing'!$H:$H,"Critical")</f>
        <v>5</v>
      </c>
      <c r="E14" s="7">
        <f>COUNTIF('30_Billing_Invoicing'!$I:$I,"Negative")+COUNTIF('30_Billing_Invoicing'!$I:$I,"Edge")+COUNTIF('30_Billing_Invoicing'!$I:$I,"Recovery")+COUNTIF('30_Billing_Invoicing'!$I:$I,"Security")</f>
        <v>3</v>
      </c>
      <c r="F14" s="7">
        <f>COUNTIF('30_Billing_Invoicing'!$J:$J,"Yes")</f>
        <v>4</v>
      </c>
    </row>
    <row r="15" spans="1:6" ht="15.6" customHeight="1" x14ac:dyDescent="0.3">
      <c r="A15" s="1" t="s">
        <v>40</v>
      </c>
      <c r="B15" s="6" t="s">
        <v>41</v>
      </c>
      <c r="C15" s="7">
        <f>COUNTA('40_Customer_Accounts'!$A:$A)-2</f>
        <v>6</v>
      </c>
      <c r="D15" s="7">
        <f>COUNTIF('40_Customer_Accounts'!$H:$H,"High")+COUNTIF('40_Customer_Accounts'!$H:$H,"Critical")</f>
        <v>5</v>
      </c>
      <c r="E15" s="7">
        <f>COUNTIF('40_Customer_Accounts'!$I:$I,"Negative")+COUNTIF('40_Customer_Accounts'!$I:$I,"Edge")+COUNTIF('40_Customer_Accounts'!$I:$I,"Recovery")+COUNTIF('40_Customer_Accounts'!$I:$I,"Security")</f>
        <v>1</v>
      </c>
      <c r="F15" s="7">
        <f>COUNTIF('40_Customer_Accounts'!$J:$J,"Yes")</f>
        <v>4</v>
      </c>
    </row>
    <row r="16" spans="1:6" ht="15.6" customHeight="1" x14ac:dyDescent="0.3">
      <c r="A16" s="1" t="s">
        <v>42</v>
      </c>
      <c r="B16" s="6" t="s">
        <v>43</v>
      </c>
      <c r="C16" s="7">
        <f>COUNTA('50_Error_Handling_Resilience'!$A:$A)-2</f>
        <v>5</v>
      </c>
      <c r="D16" s="7">
        <f>COUNTIF('50_Error_Handling_Resilience'!$H:$H,"High")+COUNTIF('50_Error_Handling_Resilience'!$H:$H,"Critical")</f>
        <v>4</v>
      </c>
      <c r="E16" s="7">
        <f>COUNTIF('50_Error_Handling_Resilience'!$I:$I,"Negative")+COUNTIF('50_Error_Handling_Resilience'!$I:$I,"Edge")+COUNTIF('50_Error_Handling_Resilience'!$I:$I,"Recovery")+COUNTIF('50_Error_Handling_Resilience'!$I:$I,"Security")</f>
        <v>5</v>
      </c>
      <c r="F16" s="7">
        <f>COUNTIF('50_Error_Handling_Resilience'!$J:$J,"Yes")</f>
        <v>3</v>
      </c>
    </row>
    <row r="17" spans="1:6" ht="31.2" customHeight="1" x14ac:dyDescent="0.3">
      <c r="A17" s="1" t="s">
        <v>44</v>
      </c>
      <c r="B17" s="6" t="s">
        <v>45</v>
      </c>
      <c r="C17" s="7">
        <f>COUNTA('60_E2E_Meter_to_Cash'!$A:$A)-2</f>
        <v>6</v>
      </c>
      <c r="D17" s="7">
        <f>COUNTIF('60_E2E_Meter_to_Cash'!$H:$H,"High")+COUNTIF('60_E2E_Meter_to_Cash'!$H:$H,"Critical")</f>
        <v>6</v>
      </c>
      <c r="E17" s="7">
        <f>COUNTIF('60_E2E_Meter_to_Cash'!$I:$I,"Negative")+COUNTIF('60_E2E_Meter_to_Cash'!$I:$I,"Edge")+COUNTIF('60_E2E_Meter_to_Cash'!$I:$I,"Recovery")+COUNTIF('60_E2E_Meter_to_Cash'!$I:$I,"Security")</f>
        <v>3</v>
      </c>
      <c r="F17" s="7">
        <f>COUNTIF('60_E2E_Meter_to_Cash'!$J:$J,"Yes")</f>
        <v>6</v>
      </c>
    </row>
    <row r="18" spans="1:6" ht="15.6" customHeight="1" x14ac:dyDescent="0.3">
      <c r="A18" s="8" t="s">
        <v>46</v>
      </c>
      <c r="B18" s="9"/>
      <c r="C18" s="10">
        <f>SUM(C12:C17)</f>
        <v>35</v>
      </c>
      <c r="D18" s="10">
        <f>SUM(D12:D17)</f>
        <v>29</v>
      </c>
      <c r="E18" s="10">
        <f>SUM(E12:E17)</f>
        <v>18</v>
      </c>
      <c r="F18" s="10">
        <f>SUM(F12:F17)</f>
        <v>24</v>
      </c>
    </row>
    <row r="19" spans="1:6" ht="15.6" customHeight="1" x14ac:dyDescent="0.3">
      <c r="A19" s="1"/>
      <c r="B19" s="6"/>
      <c r="C19" s="7"/>
      <c r="D19" s="7"/>
      <c r="E19" s="7"/>
      <c r="F19" s="7"/>
    </row>
    <row r="20" spans="1:6" ht="15.6" customHeight="1" x14ac:dyDescent="0.3">
      <c r="A20" s="1"/>
      <c r="B20" s="6"/>
      <c r="C20" s="7"/>
      <c r="D20" s="7"/>
      <c r="E20" s="7"/>
      <c r="F20" s="7"/>
    </row>
    <row r="21" spans="1:6" ht="31.2" customHeight="1" x14ac:dyDescent="0.3">
      <c r="A21" s="1"/>
      <c r="B21" s="6"/>
      <c r="C21" s="7"/>
      <c r="D21" s="7"/>
      <c r="E21" s="7"/>
      <c r="F21" s="7"/>
    </row>
    <row r="22" spans="1:6" ht="15.6" customHeight="1" x14ac:dyDescent="0.3">
      <c r="A22" s="1"/>
      <c r="B22" s="6"/>
      <c r="C22" s="7"/>
      <c r="D22" s="7"/>
      <c r="E22" s="7"/>
      <c r="F22" s="7"/>
    </row>
    <row r="23" spans="1:6" x14ac:dyDescent="0.3">
      <c r="A23" s="8"/>
      <c r="B23" s="9"/>
      <c r="C23" s="10"/>
      <c r="D23" s="10"/>
      <c r="E23" s="10"/>
      <c r="F23" s="10"/>
    </row>
    <row r="25" spans="1:6" x14ac:dyDescent="0.3">
      <c r="A25" s="24" t="s">
        <v>47</v>
      </c>
      <c r="B25" s="25"/>
      <c r="C25" s="25"/>
      <c r="D25" s="25"/>
      <c r="E25" s="25"/>
      <c r="F25" s="23"/>
    </row>
    <row r="26" spans="1:6" x14ac:dyDescent="0.3">
      <c r="A26" s="2" t="s">
        <v>48</v>
      </c>
      <c r="B26" s="2" t="s">
        <v>49</v>
      </c>
      <c r="D26" s="2" t="s">
        <v>50</v>
      </c>
      <c r="E26" s="2" t="s">
        <v>51</v>
      </c>
    </row>
    <row r="27" spans="1:6" ht="28.8" customHeight="1" x14ac:dyDescent="0.3">
      <c r="A27" s="11" t="s">
        <v>8</v>
      </c>
      <c r="B27" s="12">
        <f>COUNTIF('10_Meter_Reading'!$K:$K,$A27)+COUNTIF('20_Device_Management'!$K:$K,$A27)+COUNTIF('30_Billing_Invoicing'!$K:$K,$A27)+COUNTIF('40_Customer_Accounts'!$K:$K,$A27)+COUNTIF('50_Error_Handling_Resilience'!$K:$K,$A27)+COUNTIF('60_E2E_Meter_to_Cash'!$K:$K,$A27)</f>
        <v>35</v>
      </c>
      <c r="D27" s="1" t="s">
        <v>52</v>
      </c>
      <c r="E27" s="12">
        <f>C18</f>
        <v>35</v>
      </c>
    </row>
    <row r="28" spans="1:6" x14ac:dyDescent="0.3">
      <c r="A28" s="13" t="s">
        <v>53</v>
      </c>
      <c r="B28" s="12">
        <f>COUNTIF('10_Meter_Reading'!$K:$K,$A28)+COUNTIF('20_Device_Management'!$K:$K,$A28)+COUNTIF('30_Billing_Invoicing'!$K:$K,$A28)+COUNTIF('40_Customer_Accounts'!$K:$K,$A28)+COUNTIF('50_Error_Handling_Resilience'!$K:$K,$A28)+COUNTIF('60_E2E_Meter_to_Cash'!$K:$K,$A28)</f>
        <v>0</v>
      </c>
      <c r="D28" s="1" t="s">
        <v>54</v>
      </c>
      <c r="E28" s="12">
        <f>SUM(B28:B30)</f>
        <v>0</v>
      </c>
    </row>
    <row r="29" spans="1:6" x14ac:dyDescent="0.3">
      <c r="A29" s="14" t="s">
        <v>55</v>
      </c>
      <c r="B29" s="12">
        <f>COUNTIF('10_Meter_Reading'!$K:$K,$A29)+COUNTIF('20_Device_Management'!$K:$K,$A29)+COUNTIF('30_Billing_Invoicing'!$K:$K,$A29)+COUNTIF('40_Customer_Accounts'!$K:$K,$A29)+COUNTIF('50_Error_Handling_Resilience'!$K:$K,$A29)+COUNTIF('60_E2E_Meter_to_Cash'!$K:$K,$A29)</f>
        <v>0</v>
      </c>
      <c r="D29" s="1" t="s">
        <v>56</v>
      </c>
      <c r="E29" s="15">
        <f>IF(E27=0,0,E28/E27)</f>
        <v>0</v>
      </c>
    </row>
    <row r="30" spans="1:6" x14ac:dyDescent="0.3">
      <c r="A30" s="16" t="s">
        <v>57</v>
      </c>
      <c r="B30" s="12">
        <f>COUNTIF('10_Meter_Reading'!$K:$K,$A30)+COUNTIF('20_Device_Management'!$K:$K,$A30)+COUNTIF('30_Billing_Invoicing'!$K:$K,$A30)+COUNTIF('40_Customer_Accounts'!$K:$K,$A30)+COUNTIF('50_Error_Handling_Resilience'!$K:$K,$A30)+COUNTIF('60_E2E_Meter_to_Cash'!$K:$K,$A30)</f>
        <v>0</v>
      </c>
      <c r="D30" s="1" t="s">
        <v>58</v>
      </c>
      <c r="E30" s="15">
        <f>IF(E28=0,0,B28/E28)</f>
        <v>0</v>
      </c>
    </row>
    <row r="31" spans="1:6" x14ac:dyDescent="0.3">
      <c r="A31" s="1"/>
      <c r="B31" s="17"/>
      <c r="D31" s="1" t="s">
        <v>59</v>
      </c>
      <c r="E31" s="15">
        <f>IF(E28=0,0,B29/E28)</f>
        <v>0</v>
      </c>
    </row>
  </sheetData>
  <mergeCells count="5">
    <mergeCell ref="A2:F2"/>
    <mergeCell ref="A10:F10"/>
    <mergeCell ref="A1:F1"/>
    <mergeCell ref="A4:F4"/>
    <mergeCell ref="A25:F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showGridLines="0" workbookViewId="0">
      <pane ySplit="1" topLeftCell="A2" activePane="bottomLeft" state="frozen"/>
      <selection pane="bottomLeft" activeCell="D15" sqref="A1:XFD1048576"/>
    </sheetView>
  </sheetViews>
  <sheetFormatPr defaultRowHeight="14.4" x14ac:dyDescent="0.3"/>
  <cols>
    <col min="1" max="1" width="10.33203125" bestFit="1" customWidth="1"/>
    <col min="2" max="2" width="13.77734375" bestFit="1" customWidth="1"/>
    <col min="3" max="3" width="41.6640625" bestFit="1" customWidth="1"/>
    <col min="4" max="4" width="28" customWidth="1"/>
    <col min="5" max="5" width="41.88671875" bestFit="1" customWidth="1"/>
    <col min="6" max="6" width="23.88671875" bestFit="1" customWidth="1"/>
    <col min="7" max="7" width="41.109375" bestFit="1" customWidth="1"/>
    <col min="8" max="8" width="11.77734375" bestFit="1" customWidth="1"/>
    <col min="9" max="9" width="9.5546875" bestFit="1" customWidth="1"/>
    <col min="10" max="10" width="15.6640625" bestFit="1" customWidth="1"/>
    <col min="11" max="11" width="10.6640625" bestFit="1" customWidth="1"/>
    <col min="12" max="12" width="22.77734375" bestFit="1" customWidth="1"/>
  </cols>
  <sheetData>
    <row r="1" spans="1:12" x14ac:dyDescent="0.3">
      <c r="A1" s="29" t="s">
        <v>60</v>
      </c>
      <c r="B1" s="27"/>
      <c r="C1" s="27"/>
      <c r="D1" s="27"/>
      <c r="E1" s="27"/>
      <c r="F1" s="27"/>
      <c r="G1" s="27"/>
      <c r="H1" s="27"/>
      <c r="I1" s="27"/>
      <c r="J1" s="27"/>
      <c r="K1" s="27"/>
      <c r="L1" s="27"/>
    </row>
    <row r="2" spans="1:12" ht="28.8" x14ac:dyDescent="0.3">
      <c r="A2" s="5" t="s">
        <v>61</v>
      </c>
      <c r="B2" s="5" t="s">
        <v>28</v>
      </c>
      <c r="C2" s="5" t="s">
        <v>62</v>
      </c>
      <c r="D2" s="5" t="s">
        <v>63</v>
      </c>
      <c r="E2" s="5" t="s">
        <v>64</v>
      </c>
      <c r="F2" s="5" t="s">
        <v>65</v>
      </c>
      <c r="G2" s="5" t="s">
        <v>66</v>
      </c>
      <c r="H2" s="5" t="s">
        <v>67</v>
      </c>
      <c r="I2" s="5" t="s">
        <v>68</v>
      </c>
      <c r="J2" s="5" t="s">
        <v>69</v>
      </c>
      <c r="K2" s="5" t="s">
        <v>48</v>
      </c>
      <c r="L2" s="5" t="s">
        <v>70</v>
      </c>
    </row>
    <row r="3" spans="1:12" ht="43.2" x14ac:dyDescent="0.3">
      <c r="A3" s="18" t="s">
        <v>71</v>
      </c>
      <c r="B3" s="1" t="s">
        <v>34</v>
      </c>
      <c r="C3" s="1" t="s">
        <v>72</v>
      </c>
      <c r="D3" s="1" t="s">
        <v>73</v>
      </c>
      <c r="E3" s="1" t="s">
        <v>74</v>
      </c>
      <c r="F3" s="1" t="s">
        <v>75</v>
      </c>
      <c r="G3" s="1" t="s">
        <v>76</v>
      </c>
      <c r="H3" s="19" t="s">
        <v>77</v>
      </c>
      <c r="I3" s="19" t="s">
        <v>78</v>
      </c>
      <c r="J3" s="19" t="s">
        <v>79</v>
      </c>
      <c r="K3" s="20" t="s">
        <v>8</v>
      </c>
      <c r="L3" s="21" t="s">
        <v>80</v>
      </c>
    </row>
    <row r="4" spans="1:12" ht="28.8" x14ac:dyDescent="0.3">
      <c r="A4" s="18" t="s">
        <v>81</v>
      </c>
      <c r="B4" s="1" t="s">
        <v>34</v>
      </c>
      <c r="C4" s="1" t="s">
        <v>82</v>
      </c>
      <c r="D4" s="1" t="s">
        <v>83</v>
      </c>
      <c r="E4" s="1" t="s">
        <v>84</v>
      </c>
      <c r="F4" s="1" t="s">
        <v>85</v>
      </c>
      <c r="G4" s="1" t="s">
        <v>86</v>
      </c>
      <c r="H4" s="19" t="s">
        <v>10</v>
      </c>
      <c r="I4" s="19" t="s">
        <v>87</v>
      </c>
      <c r="J4" s="19" t="s">
        <v>88</v>
      </c>
      <c r="K4" s="20" t="s">
        <v>8</v>
      </c>
      <c r="L4" s="21" t="s">
        <v>89</v>
      </c>
    </row>
    <row r="5" spans="1:12" ht="28.8" x14ac:dyDescent="0.3">
      <c r="A5" s="18" t="s">
        <v>90</v>
      </c>
      <c r="B5" s="1" t="s">
        <v>34</v>
      </c>
      <c r="C5" s="1" t="s">
        <v>91</v>
      </c>
      <c r="D5" s="1" t="s">
        <v>92</v>
      </c>
      <c r="E5" s="1" t="s">
        <v>93</v>
      </c>
      <c r="F5" s="1" t="s">
        <v>94</v>
      </c>
      <c r="G5" s="1" t="s">
        <v>95</v>
      </c>
      <c r="H5" s="19" t="s">
        <v>77</v>
      </c>
      <c r="I5" s="19" t="s">
        <v>87</v>
      </c>
      <c r="J5" s="19" t="s">
        <v>79</v>
      </c>
      <c r="K5" s="20" t="s">
        <v>8</v>
      </c>
      <c r="L5" s="21" t="s">
        <v>96</v>
      </c>
    </row>
    <row r="6" spans="1:12" ht="43.2" x14ac:dyDescent="0.3">
      <c r="A6" s="18" t="s">
        <v>97</v>
      </c>
      <c r="B6" s="1" t="s">
        <v>34</v>
      </c>
      <c r="C6" s="1" t="s">
        <v>98</v>
      </c>
      <c r="D6" s="1" t="s">
        <v>99</v>
      </c>
      <c r="E6" s="1" t="s">
        <v>100</v>
      </c>
      <c r="F6" s="1" t="s">
        <v>101</v>
      </c>
      <c r="G6" s="1" t="s">
        <v>102</v>
      </c>
      <c r="H6" s="19" t="s">
        <v>10</v>
      </c>
      <c r="I6" s="19" t="s">
        <v>103</v>
      </c>
      <c r="J6" s="19" t="s">
        <v>79</v>
      </c>
      <c r="K6" s="20" t="s">
        <v>8</v>
      </c>
      <c r="L6" s="21" t="s">
        <v>104</v>
      </c>
    </row>
    <row r="7" spans="1:12" ht="28.8" x14ac:dyDescent="0.3">
      <c r="A7" s="18" t="s">
        <v>105</v>
      </c>
      <c r="B7" s="1" t="s">
        <v>34</v>
      </c>
      <c r="C7" s="1" t="s">
        <v>106</v>
      </c>
      <c r="D7" s="1" t="s">
        <v>107</v>
      </c>
      <c r="E7" s="1" t="s">
        <v>108</v>
      </c>
      <c r="F7" s="1" t="s">
        <v>109</v>
      </c>
      <c r="G7" s="1" t="s">
        <v>110</v>
      </c>
      <c r="H7" s="19" t="s">
        <v>10</v>
      </c>
      <c r="I7" s="19" t="s">
        <v>103</v>
      </c>
      <c r="J7" s="19" t="s">
        <v>79</v>
      </c>
      <c r="K7" s="20" t="s">
        <v>8</v>
      </c>
      <c r="L7" s="21" t="s">
        <v>111</v>
      </c>
    </row>
    <row r="8" spans="1:12" ht="28.8" x14ac:dyDescent="0.3">
      <c r="A8" s="18" t="s">
        <v>112</v>
      </c>
      <c r="B8" s="1" t="s">
        <v>34</v>
      </c>
      <c r="C8" s="1" t="s">
        <v>113</v>
      </c>
      <c r="D8" s="1" t="s">
        <v>114</v>
      </c>
      <c r="E8" s="1" t="s">
        <v>115</v>
      </c>
      <c r="F8" s="1" t="s">
        <v>116</v>
      </c>
      <c r="G8" s="1" t="s">
        <v>117</v>
      </c>
      <c r="H8" s="19" t="s">
        <v>118</v>
      </c>
      <c r="I8" s="19" t="s">
        <v>78</v>
      </c>
      <c r="J8" s="19" t="s">
        <v>88</v>
      </c>
      <c r="K8" s="20" t="s">
        <v>8</v>
      </c>
      <c r="L8" s="21" t="s">
        <v>119</v>
      </c>
    </row>
  </sheetData>
  <autoFilter ref="A2:L8" xr:uid="{00000000-0009-0000-0000-000002000000}"/>
  <mergeCells count="1">
    <mergeCell ref="A1:L1"/>
  </mergeCells>
  <conditionalFormatting sqref="K3:K8">
    <cfRule type="expression" dxfId="23" priority="1">
      <formula>K3="Pass"</formula>
    </cfRule>
    <cfRule type="expression" dxfId="22" priority="2">
      <formula>K3="Fail"</formula>
    </cfRule>
    <cfRule type="expression" dxfId="21" priority="3">
      <formula>K3="Blocked"</formula>
    </cfRule>
    <cfRule type="expression" dxfId="20" priority="4">
      <formula>K3="Not Run"</formula>
    </cfRule>
  </conditionalFormatting>
  <dataValidations count="4">
    <dataValidation type="list" sqref="K3:K8" xr:uid="{00000000-0002-0000-0200-000000000000}">
      <formula1>"Not Run,Pass,Fail,Blocked"</formula1>
    </dataValidation>
    <dataValidation type="list" sqref="H3:H8" xr:uid="{00000000-0002-0000-0200-000001000000}">
      <formula1>"Critical,High,Medium,Low"</formula1>
    </dataValidation>
    <dataValidation type="list" sqref="I3:I8" xr:uid="{00000000-0002-0000-0200-000002000000}">
      <formula1>"Positive,Negative,Regression,Security,Integration,E2E,Usability"</formula1>
    </dataValidation>
    <dataValidation type="list" sqref="J3:J8" xr:uid="{00000000-0002-0000-0200-000003000000}">
      <formula1>"Yes,Later,No"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
  <sheetViews>
    <sheetView showGridLines="0" workbookViewId="0">
      <pane ySplit="1" topLeftCell="A2" activePane="bottomLeft" state="frozen"/>
      <selection pane="bottomLeft" activeCell="C14" sqref="A1:XFD1048576"/>
    </sheetView>
  </sheetViews>
  <sheetFormatPr defaultRowHeight="14.4" x14ac:dyDescent="0.3"/>
  <cols>
    <col min="1" max="1" width="10.33203125" bestFit="1" customWidth="1"/>
    <col min="2" max="2" width="18.88671875" bestFit="1" customWidth="1"/>
    <col min="3" max="3" width="41.88671875" bestFit="1" customWidth="1"/>
    <col min="4" max="4" width="27.21875" bestFit="1" customWidth="1"/>
    <col min="5" max="5" width="40" bestFit="1" customWidth="1"/>
    <col min="6" max="6" width="23.5546875" bestFit="1" customWidth="1"/>
    <col min="7" max="7" width="41.77734375" bestFit="1" customWidth="1"/>
    <col min="8" max="8" width="11.77734375" bestFit="1" customWidth="1"/>
    <col min="9" max="9" width="9.5546875" bestFit="1" customWidth="1"/>
    <col min="10" max="10" width="15.6640625" bestFit="1" customWidth="1"/>
    <col min="11" max="11" width="10.6640625" bestFit="1" customWidth="1"/>
    <col min="12" max="12" width="23.88671875" bestFit="1" customWidth="1"/>
  </cols>
  <sheetData>
    <row r="1" spans="1:12" x14ac:dyDescent="0.3">
      <c r="A1" s="29" t="s">
        <v>60</v>
      </c>
      <c r="B1" s="27"/>
      <c r="C1" s="27"/>
      <c r="D1" s="27"/>
      <c r="E1" s="27"/>
      <c r="F1" s="27"/>
      <c r="G1" s="27"/>
      <c r="H1" s="27"/>
      <c r="I1" s="27"/>
      <c r="J1" s="27"/>
      <c r="K1" s="27"/>
      <c r="L1" s="27"/>
    </row>
    <row r="2" spans="1:12" ht="28.8" x14ac:dyDescent="0.3">
      <c r="A2" s="5" t="s">
        <v>61</v>
      </c>
      <c r="B2" s="5" t="s">
        <v>28</v>
      </c>
      <c r="C2" s="5" t="s">
        <v>62</v>
      </c>
      <c r="D2" s="5" t="s">
        <v>63</v>
      </c>
      <c r="E2" s="5" t="s">
        <v>64</v>
      </c>
      <c r="F2" s="5" t="s">
        <v>65</v>
      </c>
      <c r="G2" s="5" t="s">
        <v>66</v>
      </c>
      <c r="H2" s="5" t="s">
        <v>67</v>
      </c>
      <c r="I2" s="5" t="s">
        <v>68</v>
      </c>
      <c r="J2" s="5" t="s">
        <v>69</v>
      </c>
      <c r="K2" s="5" t="s">
        <v>48</v>
      </c>
      <c r="L2" s="5" t="s">
        <v>70</v>
      </c>
    </row>
    <row r="3" spans="1:12" ht="28.8" x14ac:dyDescent="0.3">
      <c r="A3" s="18" t="s">
        <v>120</v>
      </c>
      <c r="B3" s="1" t="s">
        <v>36</v>
      </c>
      <c r="C3" s="1" t="s">
        <v>121</v>
      </c>
      <c r="D3" s="1" t="s">
        <v>122</v>
      </c>
      <c r="E3" s="1" t="s">
        <v>123</v>
      </c>
      <c r="F3" s="1" t="s">
        <v>124</v>
      </c>
      <c r="G3" s="1" t="s">
        <v>125</v>
      </c>
      <c r="H3" s="19" t="s">
        <v>10</v>
      </c>
      <c r="I3" s="19" t="s">
        <v>78</v>
      </c>
      <c r="J3" s="19" t="s">
        <v>88</v>
      </c>
      <c r="K3" s="20" t="s">
        <v>8</v>
      </c>
      <c r="L3" s="21" t="s">
        <v>126</v>
      </c>
    </row>
    <row r="4" spans="1:12" ht="28.8" x14ac:dyDescent="0.3">
      <c r="A4" s="18" t="s">
        <v>127</v>
      </c>
      <c r="B4" s="1" t="s">
        <v>36</v>
      </c>
      <c r="C4" s="1" t="s">
        <v>128</v>
      </c>
      <c r="D4" s="1" t="s">
        <v>129</v>
      </c>
      <c r="E4" s="1" t="s">
        <v>130</v>
      </c>
      <c r="F4" s="1" t="s">
        <v>131</v>
      </c>
      <c r="G4" s="1" t="s">
        <v>132</v>
      </c>
      <c r="H4" s="19" t="s">
        <v>77</v>
      </c>
      <c r="I4" s="19" t="s">
        <v>78</v>
      </c>
      <c r="J4" s="19" t="s">
        <v>79</v>
      </c>
      <c r="K4" s="20" t="s">
        <v>8</v>
      </c>
      <c r="L4" s="21" t="s">
        <v>133</v>
      </c>
    </row>
    <row r="5" spans="1:12" ht="28.8" x14ac:dyDescent="0.3">
      <c r="A5" s="18" t="s">
        <v>134</v>
      </c>
      <c r="B5" s="1" t="s">
        <v>36</v>
      </c>
      <c r="C5" s="1" t="s">
        <v>135</v>
      </c>
      <c r="D5" s="1" t="s">
        <v>136</v>
      </c>
      <c r="E5" s="1" t="s">
        <v>137</v>
      </c>
      <c r="F5" s="1" t="s">
        <v>138</v>
      </c>
      <c r="G5" s="1" t="s">
        <v>139</v>
      </c>
      <c r="H5" s="19" t="s">
        <v>10</v>
      </c>
      <c r="I5" s="19" t="s">
        <v>103</v>
      </c>
      <c r="J5" s="19" t="s">
        <v>79</v>
      </c>
      <c r="K5" s="20" t="s">
        <v>8</v>
      </c>
      <c r="L5" s="21" t="s">
        <v>140</v>
      </c>
    </row>
    <row r="6" spans="1:12" ht="28.8" x14ac:dyDescent="0.3">
      <c r="A6" s="18" t="s">
        <v>141</v>
      </c>
      <c r="B6" s="1" t="s">
        <v>36</v>
      </c>
      <c r="C6" s="1" t="s">
        <v>142</v>
      </c>
      <c r="D6" s="1" t="s">
        <v>143</v>
      </c>
      <c r="E6" s="1" t="s">
        <v>144</v>
      </c>
      <c r="F6" s="1" t="s">
        <v>145</v>
      </c>
      <c r="G6" s="1" t="s">
        <v>146</v>
      </c>
      <c r="H6" s="19" t="s">
        <v>10</v>
      </c>
      <c r="I6" s="19" t="s">
        <v>78</v>
      </c>
      <c r="J6" s="19" t="s">
        <v>79</v>
      </c>
      <c r="K6" s="20" t="s">
        <v>8</v>
      </c>
      <c r="L6" s="21" t="s">
        <v>147</v>
      </c>
    </row>
    <row r="7" spans="1:12" ht="28.8" x14ac:dyDescent="0.3">
      <c r="A7" s="18" t="s">
        <v>148</v>
      </c>
      <c r="B7" s="1" t="s">
        <v>36</v>
      </c>
      <c r="C7" s="1" t="s">
        <v>149</v>
      </c>
      <c r="D7" s="1" t="s">
        <v>150</v>
      </c>
      <c r="E7" s="1" t="s">
        <v>151</v>
      </c>
      <c r="F7" s="1" t="s">
        <v>152</v>
      </c>
      <c r="G7" s="1" t="s">
        <v>153</v>
      </c>
      <c r="H7" s="19" t="s">
        <v>118</v>
      </c>
      <c r="I7" s="19" t="s">
        <v>103</v>
      </c>
      <c r="J7" s="19" t="s">
        <v>88</v>
      </c>
      <c r="K7" s="20" t="s">
        <v>8</v>
      </c>
      <c r="L7" s="21" t="s">
        <v>154</v>
      </c>
    </row>
    <row r="8" spans="1:12" ht="28.8" x14ac:dyDescent="0.3">
      <c r="A8" s="18" t="s">
        <v>155</v>
      </c>
      <c r="B8" s="1" t="s">
        <v>36</v>
      </c>
      <c r="C8" s="1" t="s">
        <v>156</v>
      </c>
      <c r="D8" s="1" t="s">
        <v>157</v>
      </c>
      <c r="E8" s="1" t="s">
        <v>158</v>
      </c>
      <c r="F8" s="1" t="s">
        <v>159</v>
      </c>
      <c r="G8" s="1" t="s">
        <v>160</v>
      </c>
      <c r="H8" s="19" t="s">
        <v>118</v>
      </c>
      <c r="I8" s="19" t="s">
        <v>78</v>
      </c>
      <c r="J8" s="19" t="s">
        <v>88</v>
      </c>
      <c r="K8" s="20" t="s">
        <v>8</v>
      </c>
      <c r="L8" s="21" t="s">
        <v>161</v>
      </c>
    </row>
  </sheetData>
  <autoFilter ref="A2:L8" xr:uid="{00000000-0009-0000-0000-000003000000}"/>
  <mergeCells count="1">
    <mergeCell ref="A1:L1"/>
  </mergeCells>
  <conditionalFormatting sqref="K3:K9">
    <cfRule type="expression" dxfId="19" priority="1">
      <formula>K3="Pass"</formula>
    </cfRule>
    <cfRule type="expression" dxfId="18" priority="2">
      <formula>K3="Fail"</formula>
    </cfRule>
    <cfRule type="expression" dxfId="17" priority="3">
      <formula>K3="Blocked"</formula>
    </cfRule>
    <cfRule type="expression" dxfId="16" priority="4">
      <formula>K3="Not Run"</formula>
    </cfRule>
  </conditionalFormatting>
  <dataValidations count="4">
    <dataValidation type="list" sqref="K3:K9" xr:uid="{00000000-0002-0000-0300-000000000000}">
      <formula1>"Not Run,Pass,Fail,Blocked"</formula1>
    </dataValidation>
    <dataValidation type="list" sqref="H3:H9" xr:uid="{00000000-0002-0000-0300-000001000000}">
      <formula1>"Critical,High,Medium,Low"</formula1>
    </dataValidation>
    <dataValidation type="list" sqref="I3:I9" xr:uid="{00000000-0002-0000-0300-000002000000}">
      <formula1>"Positive,Negative,Regression,Security,Integration,E2E,Usability"</formula1>
    </dataValidation>
    <dataValidation type="list" sqref="J3:J9" xr:uid="{00000000-0002-0000-0300-000003000000}">
      <formula1>"Yes,Later,No"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
  <sheetViews>
    <sheetView showGridLines="0" topLeftCell="C1" workbookViewId="0">
      <pane ySplit="1" topLeftCell="A2" activePane="bottomLeft" state="frozen"/>
      <selection pane="bottomLeft" activeCell="F16" sqref="F16"/>
    </sheetView>
  </sheetViews>
  <sheetFormatPr defaultRowHeight="14.4" x14ac:dyDescent="0.3"/>
  <cols>
    <col min="1" max="1" width="10.33203125" bestFit="1" customWidth="1"/>
    <col min="2" max="2" width="16.5546875" bestFit="1" customWidth="1"/>
    <col min="3" max="3" width="41.33203125" bestFit="1" customWidth="1"/>
    <col min="4" max="4" width="27.77734375" bestFit="1" customWidth="1"/>
    <col min="5" max="5" width="43.33203125" bestFit="1" customWidth="1"/>
    <col min="6" max="6" width="23.33203125" bestFit="1" customWidth="1"/>
    <col min="7" max="7" width="41.77734375" bestFit="1" customWidth="1"/>
    <col min="8" max="8" width="11.77734375" bestFit="1" customWidth="1"/>
    <col min="9" max="9" width="9.5546875" bestFit="1" customWidth="1"/>
    <col min="10" max="10" width="15.6640625" bestFit="1" customWidth="1"/>
    <col min="11" max="11" width="10.6640625" bestFit="1" customWidth="1"/>
    <col min="12" max="12" width="20.5546875" bestFit="1" customWidth="1"/>
  </cols>
  <sheetData>
    <row r="1" spans="1:12" x14ac:dyDescent="0.3">
      <c r="A1" s="29" t="s">
        <v>60</v>
      </c>
      <c r="B1" s="27"/>
      <c r="C1" s="27"/>
      <c r="D1" s="27"/>
      <c r="E1" s="27"/>
      <c r="F1" s="27"/>
      <c r="G1" s="27"/>
      <c r="H1" s="27"/>
      <c r="I1" s="27"/>
      <c r="J1" s="27"/>
      <c r="K1" s="27"/>
      <c r="L1" s="27"/>
    </row>
    <row r="2" spans="1:12" ht="28.8" x14ac:dyDescent="0.3">
      <c r="A2" s="5" t="s">
        <v>61</v>
      </c>
      <c r="B2" s="5" t="s">
        <v>28</v>
      </c>
      <c r="C2" s="5" t="s">
        <v>62</v>
      </c>
      <c r="D2" s="5" t="s">
        <v>63</v>
      </c>
      <c r="E2" s="5" t="s">
        <v>64</v>
      </c>
      <c r="F2" s="5" t="s">
        <v>65</v>
      </c>
      <c r="G2" s="5" t="s">
        <v>66</v>
      </c>
      <c r="H2" s="5" t="s">
        <v>67</v>
      </c>
      <c r="I2" s="5" t="s">
        <v>68</v>
      </c>
      <c r="J2" s="5" t="s">
        <v>69</v>
      </c>
      <c r="K2" s="5" t="s">
        <v>48</v>
      </c>
      <c r="L2" s="5" t="s">
        <v>70</v>
      </c>
    </row>
    <row r="3" spans="1:12" ht="43.2" x14ac:dyDescent="0.3">
      <c r="A3" s="18" t="s">
        <v>162</v>
      </c>
      <c r="B3" s="1" t="s">
        <v>38</v>
      </c>
      <c r="C3" s="1" t="s">
        <v>163</v>
      </c>
      <c r="D3" s="1" t="s">
        <v>164</v>
      </c>
      <c r="E3" s="1" t="s">
        <v>165</v>
      </c>
      <c r="F3" s="1" t="s">
        <v>166</v>
      </c>
      <c r="G3" s="1" t="s">
        <v>167</v>
      </c>
      <c r="H3" s="19" t="s">
        <v>77</v>
      </c>
      <c r="I3" s="19" t="s">
        <v>78</v>
      </c>
      <c r="J3" s="19" t="s">
        <v>79</v>
      </c>
      <c r="K3" s="20" t="s">
        <v>8</v>
      </c>
      <c r="L3" s="21" t="s">
        <v>80</v>
      </c>
    </row>
    <row r="4" spans="1:12" ht="28.8" x14ac:dyDescent="0.3">
      <c r="A4" s="18" t="s">
        <v>168</v>
      </c>
      <c r="B4" s="1" t="s">
        <v>38</v>
      </c>
      <c r="C4" s="1" t="s">
        <v>169</v>
      </c>
      <c r="D4" s="1" t="s">
        <v>170</v>
      </c>
      <c r="E4" s="1" t="s">
        <v>171</v>
      </c>
      <c r="F4" s="1" t="s">
        <v>172</v>
      </c>
      <c r="G4" s="1" t="s">
        <v>173</v>
      </c>
      <c r="H4" s="19" t="s">
        <v>10</v>
      </c>
      <c r="I4" s="19" t="s">
        <v>87</v>
      </c>
      <c r="J4" s="19" t="s">
        <v>79</v>
      </c>
      <c r="K4" s="20" t="s">
        <v>8</v>
      </c>
      <c r="L4" s="21" t="s">
        <v>174</v>
      </c>
    </row>
    <row r="5" spans="1:12" ht="43.2" x14ac:dyDescent="0.3">
      <c r="A5" s="18" t="s">
        <v>175</v>
      </c>
      <c r="B5" s="1" t="s">
        <v>38</v>
      </c>
      <c r="C5" s="1" t="s">
        <v>176</v>
      </c>
      <c r="D5" s="1" t="s">
        <v>177</v>
      </c>
      <c r="E5" s="1" t="s">
        <v>178</v>
      </c>
      <c r="F5" s="1" t="s">
        <v>179</v>
      </c>
      <c r="G5" s="1" t="s">
        <v>180</v>
      </c>
      <c r="H5" s="19" t="s">
        <v>77</v>
      </c>
      <c r="I5" s="19" t="s">
        <v>181</v>
      </c>
      <c r="J5" s="19" t="s">
        <v>79</v>
      </c>
      <c r="K5" s="20" t="s">
        <v>8</v>
      </c>
      <c r="L5" s="21" t="s">
        <v>182</v>
      </c>
    </row>
    <row r="6" spans="1:12" ht="28.8" x14ac:dyDescent="0.3">
      <c r="A6" s="18" t="s">
        <v>183</v>
      </c>
      <c r="B6" s="1" t="s">
        <v>38</v>
      </c>
      <c r="C6" s="1" t="s">
        <v>184</v>
      </c>
      <c r="D6" s="1" t="s">
        <v>185</v>
      </c>
      <c r="E6" s="1" t="s">
        <v>186</v>
      </c>
      <c r="F6" s="1" t="s">
        <v>187</v>
      </c>
      <c r="G6" s="1" t="s">
        <v>188</v>
      </c>
      <c r="H6" s="19" t="s">
        <v>10</v>
      </c>
      <c r="I6" s="19" t="s">
        <v>103</v>
      </c>
      <c r="J6" s="19" t="s">
        <v>79</v>
      </c>
      <c r="K6" s="20" t="s">
        <v>8</v>
      </c>
      <c r="L6" s="21" t="s">
        <v>189</v>
      </c>
    </row>
    <row r="7" spans="1:12" ht="43.2" x14ac:dyDescent="0.3">
      <c r="A7" s="18" t="s">
        <v>190</v>
      </c>
      <c r="B7" s="1" t="s">
        <v>38</v>
      </c>
      <c r="C7" s="1" t="s">
        <v>191</v>
      </c>
      <c r="D7" s="1" t="s">
        <v>192</v>
      </c>
      <c r="E7" s="1" t="s">
        <v>193</v>
      </c>
      <c r="F7" s="1" t="s">
        <v>194</v>
      </c>
      <c r="G7" s="1" t="s">
        <v>195</v>
      </c>
      <c r="H7" s="19" t="s">
        <v>10</v>
      </c>
      <c r="I7" s="19" t="s">
        <v>78</v>
      </c>
      <c r="J7" s="19" t="s">
        <v>88</v>
      </c>
      <c r="K7" s="20" t="s">
        <v>8</v>
      </c>
      <c r="L7" s="21" t="s">
        <v>196</v>
      </c>
    </row>
    <row r="8" spans="1:12" ht="28.8" x14ac:dyDescent="0.3">
      <c r="A8" s="18" t="s">
        <v>197</v>
      </c>
      <c r="B8" s="1" t="s">
        <v>38</v>
      </c>
      <c r="C8" s="1" t="s">
        <v>198</v>
      </c>
      <c r="D8" s="1" t="s">
        <v>199</v>
      </c>
      <c r="E8" s="1" t="s">
        <v>200</v>
      </c>
      <c r="F8" s="1" t="s">
        <v>201</v>
      </c>
      <c r="G8" s="1" t="s">
        <v>202</v>
      </c>
      <c r="H8" s="19" t="s">
        <v>118</v>
      </c>
      <c r="I8" s="19" t="s">
        <v>78</v>
      </c>
      <c r="J8" s="19" t="s">
        <v>88</v>
      </c>
      <c r="K8" s="20" t="s">
        <v>8</v>
      </c>
      <c r="L8" s="21" t="s">
        <v>203</v>
      </c>
    </row>
  </sheetData>
  <autoFilter ref="A2:L8" xr:uid="{00000000-0009-0000-0000-000004000000}"/>
  <mergeCells count="1">
    <mergeCell ref="A1:L1"/>
  </mergeCells>
  <conditionalFormatting sqref="K3:K8">
    <cfRule type="expression" dxfId="15" priority="1">
      <formula>K3="Pass"</formula>
    </cfRule>
    <cfRule type="expression" dxfId="14" priority="2">
      <formula>K3="Fail"</formula>
    </cfRule>
    <cfRule type="expression" dxfId="13" priority="3">
      <formula>K3="Blocked"</formula>
    </cfRule>
    <cfRule type="expression" dxfId="12" priority="4">
      <formula>K3="Not Run"</formula>
    </cfRule>
  </conditionalFormatting>
  <dataValidations count="4">
    <dataValidation type="list" sqref="K3:K8" xr:uid="{00000000-0002-0000-0400-000000000000}">
      <formula1>"Not Run,Pass,Fail,Blocked"</formula1>
    </dataValidation>
    <dataValidation type="list" sqref="H3:H8" xr:uid="{00000000-0002-0000-0400-000001000000}">
      <formula1>"Critical,High,Medium,Low"</formula1>
    </dataValidation>
    <dataValidation type="list" sqref="I3:I8" xr:uid="{00000000-0002-0000-0400-000002000000}">
      <formula1>"Positive,Negative,Regression,Security,Integration,E2E,Usability"</formula1>
    </dataValidation>
    <dataValidation type="list" sqref="J3:J8" xr:uid="{00000000-0002-0000-0400-000003000000}">
      <formula1>"Yes,Later,No"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
  <sheetViews>
    <sheetView showGridLines="0" topLeftCell="D1" workbookViewId="0">
      <pane ySplit="1" topLeftCell="A2" activePane="bottomLeft" state="frozen"/>
      <selection pane="bottomLeft" sqref="A1:XFD1048576"/>
    </sheetView>
  </sheetViews>
  <sheetFormatPr defaultRowHeight="14.4" x14ac:dyDescent="0.3"/>
  <cols>
    <col min="1" max="1" width="10.33203125" bestFit="1" customWidth="1"/>
    <col min="2" max="2" width="17.77734375" bestFit="1" customWidth="1"/>
    <col min="3" max="3" width="69.44140625" bestFit="1" customWidth="1"/>
    <col min="4" max="4" width="39.88671875" bestFit="1" customWidth="1"/>
    <col min="5" max="5" width="56.77734375" bestFit="1" customWidth="1"/>
    <col min="6" max="6" width="23.77734375" bestFit="1" customWidth="1"/>
    <col min="7" max="7" width="77.88671875" bestFit="1" customWidth="1"/>
    <col min="8" max="8" width="11.77734375" bestFit="1" customWidth="1"/>
    <col min="9" max="9" width="9.5546875" bestFit="1" customWidth="1"/>
    <col min="10" max="10" width="15.6640625" bestFit="1" customWidth="1"/>
    <col min="11" max="11" width="10.6640625" bestFit="1" customWidth="1"/>
    <col min="12" max="12" width="21.21875" bestFit="1" customWidth="1"/>
  </cols>
  <sheetData>
    <row r="1" spans="1:12" x14ac:dyDescent="0.3">
      <c r="A1" s="29" t="s">
        <v>60</v>
      </c>
      <c r="B1" s="27"/>
      <c r="C1" s="27"/>
      <c r="D1" s="27"/>
      <c r="E1" s="27"/>
      <c r="F1" s="27"/>
      <c r="G1" s="27"/>
      <c r="H1" s="27"/>
      <c r="I1" s="27"/>
      <c r="J1" s="27"/>
      <c r="K1" s="27"/>
      <c r="L1" s="27"/>
    </row>
    <row r="2" spans="1:12" ht="28.8" x14ac:dyDescent="0.3">
      <c r="A2" s="5" t="s">
        <v>61</v>
      </c>
      <c r="B2" s="5" t="s">
        <v>28</v>
      </c>
      <c r="C2" s="5" t="s">
        <v>62</v>
      </c>
      <c r="D2" s="5" t="s">
        <v>63</v>
      </c>
      <c r="E2" s="5" t="s">
        <v>64</v>
      </c>
      <c r="F2" s="5" t="s">
        <v>65</v>
      </c>
      <c r="G2" s="5" t="s">
        <v>66</v>
      </c>
      <c r="H2" s="5" t="s">
        <v>67</v>
      </c>
      <c r="I2" s="5" t="s">
        <v>68</v>
      </c>
      <c r="J2" s="5" t="s">
        <v>69</v>
      </c>
      <c r="K2" s="5" t="s">
        <v>48</v>
      </c>
      <c r="L2" s="5" t="s">
        <v>70</v>
      </c>
    </row>
    <row r="3" spans="1:12" ht="28.8" x14ac:dyDescent="0.3">
      <c r="A3" s="18" t="s">
        <v>204</v>
      </c>
      <c r="B3" s="1" t="s">
        <v>40</v>
      </c>
      <c r="C3" s="1" t="s">
        <v>205</v>
      </c>
      <c r="D3" s="1" t="s">
        <v>206</v>
      </c>
      <c r="E3" s="1" t="s">
        <v>207</v>
      </c>
      <c r="F3" s="1" t="s">
        <v>208</v>
      </c>
      <c r="G3" s="1" t="s">
        <v>209</v>
      </c>
      <c r="H3" s="19" t="s">
        <v>10</v>
      </c>
      <c r="I3" s="19" t="s">
        <v>78</v>
      </c>
      <c r="J3" s="19" t="s">
        <v>88</v>
      </c>
      <c r="K3" s="20" t="s">
        <v>8</v>
      </c>
      <c r="L3" s="21" t="s">
        <v>210</v>
      </c>
    </row>
    <row r="4" spans="1:12" ht="28.8" x14ac:dyDescent="0.3">
      <c r="A4" s="18" t="s">
        <v>211</v>
      </c>
      <c r="B4" s="1" t="s">
        <v>40</v>
      </c>
      <c r="C4" s="1" t="s">
        <v>212</v>
      </c>
      <c r="D4" s="1" t="s">
        <v>213</v>
      </c>
      <c r="E4" s="1" t="s">
        <v>214</v>
      </c>
      <c r="F4" s="1" t="s">
        <v>215</v>
      </c>
      <c r="G4" s="1" t="s">
        <v>216</v>
      </c>
      <c r="H4" s="19" t="s">
        <v>77</v>
      </c>
      <c r="I4" s="19" t="s">
        <v>78</v>
      </c>
      <c r="J4" s="19" t="s">
        <v>79</v>
      </c>
      <c r="K4" s="20" t="s">
        <v>8</v>
      </c>
      <c r="L4" s="21" t="s">
        <v>217</v>
      </c>
    </row>
    <row r="5" spans="1:12" ht="28.8" x14ac:dyDescent="0.3">
      <c r="A5" s="18" t="s">
        <v>218</v>
      </c>
      <c r="B5" s="1" t="s">
        <v>40</v>
      </c>
      <c r="C5" s="1" t="s">
        <v>219</v>
      </c>
      <c r="D5" s="1" t="s">
        <v>220</v>
      </c>
      <c r="E5" s="1" t="s">
        <v>221</v>
      </c>
      <c r="F5" s="1" t="s">
        <v>222</v>
      </c>
      <c r="G5" s="1" t="s">
        <v>223</v>
      </c>
      <c r="H5" s="19" t="s">
        <v>77</v>
      </c>
      <c r="I5" s="19" t="s">
        <v>78</v>
      </c>
      <c r="J5" s="19" t="s">
        <v>79</v>
      </c>
      <c r="K5" s="20" t="s">
        <v>8</v>
      </c>
      <c r="L5" s="21" t="s">
        <v>224</v>
      </c>
    </row>
    <row r="6" spans="1:12" ht="28.8" x14ac:dyDescent="0.3">
      <c r="A6" s="18" t="s">
        <v>225</v>
      </c>
      <c r="B6" s="1" t="s">
        <v>40</v>
      </c>
      <c r="C6" s="1" t="s">
        <v>226</v>
      </c>
      <c r="D6" s="1" t="s">
        <v>227</v>
      </c>
      <c r="E6" s="1" t="s">
        <v>228</v>
      </c>
      <c r="F6" s="1" t="s">
        <v>229</v>
      </c>
      <c r="G6" s="1" t="s">
        <v>230</v>
      </c>
      <c r="H6" s="19" t="s">
        <v>10</v>
      </c>
      <c r="I6" s="19" t="s">
        <v>103</v>
      </c>
      <c r="J6" s="19" t="s">
        <v>79</v>
      </c>
      <c r="K6" s="20" t="s">
        <v>8</v>
      </c>
      <c r="L6" s="21" t="s">
        <v>231</v>
      </c>
    </row>
    <row r="7" spans="1:12" ht="28.8" x14ac:dyDescent="0.3">
      <c r="A7" s="18" t="s">
        <v>232</v>
      </c>
      <c r="B7" s="1" t="s">
        <v>40</v>
      </c>
      <c r="C7" s="1" t="s">
        <v>233</v>
      </c>
      <c r="D7" s="1" t="s">
        <v>234</v>
      </c>
      <c r="E7" s="1" t="s">
        <v>235</v>
      </c>
      <c r="F7" s="1" t="s">
        <v>236</v>
      </c>
      <c r="G7" s="1" t="s">
        <v>237</v>
      </c>
      <c r="H7" s="19" t="s">
        <v>10</v>
      </c>
      <c r="I7" s="19" t="s">
        <v>78</v>
      </c>
      <c r="J7" s="19" t="s">
        <v>79</v>
      </c>
      <c r="K7" s="20" t="s">
        <v>8</v>
      </c>
      <c r="L7" s="21" t="s">
        <v>238</v>
      </c>
    </row>
    <row r="8" spans="1:12" x14ac:dyDescent="0.3">
      <c r="A8" t="s">
        <v>239</v>
      </c>
      <c r="B8" t="s">
        <v>40</v>
      </c>
      <c r="C8" t="s">
        <v>240</v>
      </c>
      <c r="D8" t="s">
        <v>241</v>
      </c>
      <c r="E8" t="s">
        <v>242</v>
      </c>
      <c r="F8" t="s">
        <v>243</v>
      </c>
      <c r="G8" t="s">
        <v>244</v>
      </c>
      <c r="H8" t="s">
        <v>118</v>
      </c>
      <c r="I8" t="s">
        <v>78</v>
      </c>
      <c r="J8" t="s">
        <v>88</v>
      </c>
      <c r="K8" t="s">
        <v>8</v>
      </c>
      <c r="L8" t="s">
        <v>245</v>
      </c>
    </row>
  </sheetData>
  <autoFilter ref="A2:L7" xr:uid="{00000000-0009-0000-0000-000005000000}"/>
  <mergeCells count="1">
    <mergeCell ref="A1:L1"/>
  </mergeCells>
  <conditionalFormatting sqref="K3:K7">
    <cfRule type="expression" dxfId="11" priority="1">
      <formula>K3="Pass"</formula>
    </cfRule>
    <cfRule type="expression" dxfId="10" priority="2">
      <formula>K3="Fail"</formula>
    </cfRule>
    <cfRule type="expression" dxfId="9" priority="3">
      <formula>K3="Blocked"</formula>
    </cfRule>
    <cfRule type="expression" dxfId="8" priority="4">
      <formula>K3="Not Run"</formula>
    </cfRule>
  </conditionalFormatting>
  <dataValidations count="4">
    <dataValidation type="list" sqref="K3:K7" xr:uid="{00000000-0002-0000-0500-000000000000}">
      <formula1>"Not Run,Pass,Fail,Blocked"</formula1>
    </dataValidation>
    <dataValidation type="list" sqref="H3:H7" xr:uid="{00000000-0002-0000-0500-000001000000}">
      <formula1>"Critical,High,Medium,Low"</formula1>
    </dataValidation>
    <dataValidation type="list" sqref="I3:I7" xr:uid="{00000000-0002-0000-0500-000002000000}">
      <formula1>"Positive,Negative,Regression,Security,Integration,E2E,Usability"</formula1>
    </dataValidation>
    <dataValidation type="list" sqref="J3:J7" xr:uid="{00000000-0002-0000-0500-000003000000}">
      <formula1>"Yes,Later,No"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
  <sheetViews>
    <sheetView showGridLines="0" workbookViewId="0">
      <pane ySplit="1" topLeftCell="A2" activePane="bottomLeft" state="frozen"/>
      <selection pane="bottomLeft" activeCell="B2" sqref="A1:XFD1048576"/>
    </sheetView>
  </sheetViews>
  <sheetFormatPr defaultColWidth="42.21875" defaultRowHeight="14.4" x14ac:dyDescent="0.3"/>
  <cols>
    <col min="1" max="1" width="10.33203125" bestFit="1" customWidth="1"/>
    <col min="2" max="2" width="24.88671875" bestFit="1" customWidth="1"/>
    <col min="3" max="3" width="42.109375" bestFit="1" customWidth="1"/>
    <col min="4" max="4" width="38" bestFit="1" customWidth="1"/>
    <col min="5" max="5" width="41.77734375" bestFit="1" customWidth="1"/>
    <col min="6" max="6" width="38.33203125" bestFit="1" customWidth="1"/>
    <col min="7" max="7" width="41" bestFit="1" customWidth="1"/>
    <col min="8" max="8" width="11.77734375" bestFit="1" customWidth="1"/>
    <col min="9" max="9" width="9.5546875" bestFit="1" customWidth="1"/>
    <col min="10" max="10" width="25.21875" bestFit="1" customWidth="1"/>
    <col min="11" max="11" width="10.6640625" bestFit="1" customWidth="1"/>
    <col min="12" max="12" width="21.6640625" bestFit="1" customWidth="1"/>
  </cols>
  <sheetData>
    <row r="1" spans="1:12" x14ac:dyDescent="0.3">
      <c r="A1" s="29" t="s">
        <v>60</v>
      </c>
      <c r="B1" s="27"/>
      <c r="C1" s="27"/>
      <c r="D1" s="27"/>
      <c r="E1" s="27"/>
      <c r="F1" s="27"/>
      <c r="G1" s="27"/>
      <c r="H1" s="27"/>
      <c r="I1" s="27"/>
      <c r="J1" s="27"/>
      <c r="K1" s="27"/>
      <c r="L1" s="27"/>
    </row>
    <row r="2" spans="1:12" x14ac:dyDescent="0.3">
      <c r="A2" s="5" t="s">
        <v>61</v>
      </c>
      <c r="B2" s="5" t="s">
        <v>28</v>
      </c>
      <c r="C2" s="5" t="s">
        <v>62</v>
      </c>
      <c r="D2" s="5" t="s">
        <v>63</v>
      </c>
      <c r="E2" s="5" t="s">
        <v>64</v>
      </c>
      <c r="F2" s="5" t="s">
        <v>65</v>
      </c>
      <c r="G2" s="5" t="s">
        <v>66</v>
      </c>
      <c r="H2" s="5" t="s">
        <v>67</v>
      </c>
      <c r="I2" s="5" t="s">
        <v>68</v>
      </c>
      <c r="J2" s="5" t="s">
        <v>69</v>
      </c>
      <c r="K2" s="5" t="s">
        <v>48</v>
      </c>
      <c r="L2" s="5" t="s">
        <v>70</v>
      </c>
    </row>
    <row r="3" spans="1:12" ht="43.2" x14ac:dyDescent="0.3">
      <c r="A3" s="18" t="s">
        <v>246</v>
      </c>
      <c r="B3" s="1" t="s">
        <v>42</v>
      </c>
      <c r="C3" s="1" t="s">
        <v>247</v>
      </c>
      <c r="D3" s="1" t="s">
        <v>248</v>
      </c>
      <c r="E3" s="1" t="s">
        <v>249</v>
      </c>
      <c r="F3" s="1" t="s">
        <v>250</v>
      </c>
      <c r="G3" s="1" t="s">
        <v>251</v>
      </c>
      <c r="H3" s="19" t="s">
        <v>77</v>
      </c>
      <c r="I3" s="19" t="s">
        <v>103</v>
      </c>
      <c r="J3" s="19" t="s">
        <v>79</v>
      </c>
      <c r="K3" s="20" t="s">
        <v>8</v>
      </c>
      <c r="L3" s="21" t="s">
        <v>252</v>
      </c>
    </row>
    <row r="4" spans="1:12" ht="43.2" x14ac:dyDescent="0.3">
      <c r="A4" s="18" t="s">
        <v>253</v>
      </c>
      <c r="B4" s="1" t="s">
        <v>42</v>
      </c>
      <c r="C4" s="1" t="s">
        <v>254</v>
      </c>
      <c r="D4" s="1" t="s">
        <v>255</v>
      </c>
      <c r="E4" s="1" t="s">
        <v>256</v>
      </c>
      <c r="F4" s="1" t="s">
        <v>257</v>
      </c>
      <c r="G4" s="1" t="s">
        <v>258</v>
      </c>
      <c r="H4" s="19" t="s">
        <v>77</v>
      </c>
      <c r="I4" s="19" t="s">
        <v>181</v>
      </c>
      <c r="J4" s="19" t="s">
        <v>79</v>
      </c>
      <c r="K4" s="20" t="s">
        <v>8</v>
      </c>
      <c r="L4" s="21" t="s">
        <v>259</v>
      </c>
    </row>
    <row r="5" spans="1:12" ht="28.8" x14ac:dyDescent="0.3">
      <c r="A5" s="18" t="s">
        <v>260</v>
      </c>
      <c r="B5" s="1" t="s">
        <v>42</v>
      </c>
      <c r="C5" s="1" t="s">
        <v>261</v>
      </c>
      <c r="D5" s="1" t="s">
        <v>262</v>
      </c>
      <c r="E5" s="1" t="s">
        <v>263</v>
      </c>
      <c r="F5" s="1" t="s">
        <v>264</v>
      </c>
      <c r="G5" s="1" t="s">
        <v>265</v>
      </c>
      <c r="H5" s="19" t="s">
        <v>10</v>
      </c>
      <c r="I5" s="19" t="s">
        <v>103</v>
      </c>
      <c r="J5" s="19" t="s">
        <v>79</v>
      </c>
      <c r="K5" s="20" t="s">
        <v>8</v>
      </c>
      <c r="L5" s="21" t="s">
        <v>266</v>
      </c>
    </row>
    <row r="6" spans="1:12" ht="28.8" x14ac:dyDescent="0.3">
      <c r="A6" s="18" t="s">
        <v>267</v>
      </c>
      <c r="B6" s="1" t="s">
        <v>42</v>
      </c>
      <c r="C6" s="1" t="s">
        <v>268</v>
      </c>
      <c r="D6" s="1" t="s">
        <v>269</v>
      </c>
      <c r="E6" s="1" t="s">
        <v>270</v>
      </c>
      <c r="F6" s="1" t="s">
        <v>271</v>
      </c>
      <c r="G6" s="1" t="s">
        <v>272</v>
      </c>
      <c r="H6" s="19" t="s">
        <v>10</v>
      </c>
      <c r="I6" s="19" t="s">
        <v>181</v>
      </c>
      <c r="J6" s="19" t="s">
        <v>88</v>
      </c>
      <c r="K6" s="20" t="s">
        <v>8</v>
      </c>
      <c r="L6" s="21" t="s">
        <v>273</v>
      </c>
    </row>
    <row r="7" spans="1:12" ht="28.8" x14ac:dyDescent="0.3">
      <c r="A7" s="18" t="s">
        <v>274</v>
      </c>
      <c r="B7" s="1" t="s">
        <v>42</v>
      </c>
      <c r="C7" s="1" t="s">
        <v>275</v>
      </c>
      <c r="D7" s="1" t="s">
        <v>276</v>
      </c>
      <c r="E7" s="1" t="s">
        <v>277</v>
      </c>
      <c r="F7" s="1" t="s">
        <v>278</v>
      </c>
      <c r="G7" s="1" t="s">
        <v>279</v>
      </c>
      <c r="H7" s="19" t="s">
        <v>118</v>
      </c>
      <c r="I7" s="19" t="s">
        <v>87</v>
      </c>
      <c r="J7" s="19" t="s">
        <v>88</v>
      </c>
      <c r="K7" s="20" t="s">
        <v>8</v>
      </c>
      <c r="L7" s="21" t="s">
        <v>280</v>
      </c>
    </row>
  </sheetData>
  <autoFilter ref="A2:L7" xr:uid="{00000000-0009-0000-0000-000006000000}"/>
  <mergeCells count="1">
    <mergeCell ref="A1:L1"/>
  </mergeCells>
  <conditionalFormatting sqref="K3:K8">
    <cfRule type="expression" dxfId="7" priority="1">
      <formula>K3="Pass"</formula>
    </cfRule>
    <cfRule type="expression" dxfId="6" priority="2">
      <formula>K3="Fail"</formula>
    </cfRule>
    <cfRule type="expression" dxfId="5" priority="3">
      <formula>K3="Blocked"</formula>
    </cfRule>
    <cfRule type="expression" dxfId="4" priority="4">
      <formula>K3="Not Run"</formula>
    </cfRule>
  </conditionalFormatting>
  <dataValidations count="4">
    <dataValidation type="list" sqref="K3:K8" xr:uid="{00000000-0002-0000-0600-000000000000}">
      <formula1>"Not Run,Pass,Fail,Blocked"</formula1>
    </dataValidation>
    <dataValidation type="list" sqref="H3:H8" xr:uid="{00000000-0002-0000-0600-000001000000}">
      <formula1>"Critical,High,Medium,Low"</formula1>
    </dataValidation>
    <dataValidation type="list" sqref="I3:I8" xr:uid="{00000000-0002-0000-0600-000002000000}">
      <formula1>"Positive,Negative,Regression,Security,Integration,E2E,Usability"</formula1>
    </dataValidation>
    <dataValidation type="list" sqref="J3:J8" xr:uid="{00000000-0002-0000-0600-000003000000}">
      <formula1>"Yes,Later,No"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
  <sheetViews>
    <sheetView showGridLines="0" topLeftCell="C1" workbookViewId="0">
      <pane ySplit="1" topLeftCell="A2" activePane="bottomLeft" state="frozen"/>
      <selection pane="bottomLeft" sqref="A1:L8"/>
    </sheetView>
  </sheetViews>
  <sheetFormatPr defaultRowHeight="14.4" x14ac:dyDescent="0.3"/>
  <cols>
    <col min="1" max="1" width="12" customWidth="1"/>
    <col min="2" max="2" width="20" customWidth="1"/>
    <col min="3" max="3" width="42" customWidth="1"/>
    <col min="4" max="4" width="28" customWidth="1"/>
    <col min="5" max="5" width="32.6640625" bestFit="1" customWidth="1"/>
    <col min="6" max="6" width="24" customWidth="1"/>
    <col min="7" max="7" width="42" customWidth="1"/>
    <col min="8" max="8" width="12" customWidth="1"/>
    <col min="9" max="9" width="14" customWidth="1"/>
    <col min="10" max="10" width="20" customWidth="1"/>
    <col min="11" max="11" width="12" customWidth="1"/>
    <col min="12" max="12" width="24" customWidth="1"/>
  </cols>
  <sheetData>
    <row r="1" spans="1:12" ht="25.95" customHeight="1" x14ac:dyDescent="0.3">
      <c r="A1" s="29" t="s">
        <v>60</v>
      </c>
      <c r="B1" s="27"/>
      <c r="C1" s="27"/>
      <c r="D1" s="27"/>
      <c r="E1" s="27"/>
      <c r="F1" s="27"/>
      <c r="G1" s="27"/>
      <c r="H1" s="27"/>
      <c r="I1" s="27"/>
      <c r="J1" s="27"/>
      <c r="K1" s="27"/>
      <c r="L1" s="27"/>
    </row>
    <row r="2" spans="1:12" ht="28.8" customHeight="1" x14ac:dyDescent="0.3">
      <c r="A2" s="5" t="s">
        <v>61</v>
      </c>
      <c r="B2" s="5" t="s">
        <v>28</v>
      </c>
      <c r="C2" s="5" t="s">
        <v>62</v>
      </c>
      <c r="D2" s="5" t="s">
        <v>63</v>
      </c>
      <c r="E2" s="5" t="s">
        <v>64</v>
      </c>
      <c r="F2" s="5" t="s">
        <v>65</v>
      </c>
      <c r="G2" s="5" t="s">
        <v>66</v>
      </c>
      <c r="H2" s="5" t="s">
        <v>67</v>
      </c>
      <c r="I2" s="5" t="s">
        <v>68</v>
      </c>
      <c r="J2" s="5" t="s">
        <v>69</v>
      </c>
      <c r="K2" s="5" t="s">
        <v>48</v>
      </c>
      <c r="L2" s="5" t="s">
        <v>70</v>
      </c>
    </row>
    <row r="3" spans="1:12" ht="57.6" x14ac:dyDescent="0.3">
      <c r="A3" s="18" t="s">
        <v>281</v>
      </c>
      <c r="B3" s="1" t="s">
        <v>44</v>
      </c>
      <c r="C3" s="1" t="s">
        <v>282</v>
      </c>
      <c r="D3" s="1" t="s">
        <v>283</v>
      </c>
      <c r="E3" s="1" t="s">
        <v>284</v>
      </c>
      <c r="F3" s="1" t="s">
        <v>285</v>
      </c>
      <c r="G3" s="1" t="s">
        <v>286</v>
      </c>
      <c r="H3" s="19" t="s">
        <v>77</v>
      </c>
      <c r="I3" s="19" t="s">
        <v>78</v>
      </c>
      <c r="J3" s="19" t="s">
        <v>79</v>
      </c>
      <c r="K3" s="20" t="s">
        <v>8</v>
      </c>
      <c r="L3" s="21" t="s">
        <v>287</v>
      </c>
    </row>
    <row r="4" spans="1:12" ht="45" customHeight="1" x14ac:dyDescent="0.3">
      <c r="A4" s="18" t="s">
        <v>288</v>
      </c>
      <c r="B4" s="1" t="s">
        <v>44</v>
      </c>
      <c r="C4" s="1" t="s">
        <v>289</v>
      </c>
      <c r="D4" s="1" t="s">
        <v>290</v>
      </c>
      <c r="E4" s="1" t="s">
        <v>291</v>
      </c>
      <c r="F4" s="1" t="s">
        <v>292</v>
      </c>
      <c r="G4" s="1" t="s">
        <v>293</v>
      </c>
      <c r="H4" s="19" t="s">
        <v>77</v>
      </c>
      <c r="I4" s="19" t="s">
        <v>103</v>
      </c>
      <c r="J4" s="19" t="s">
        <v>79</v>
      </c>
      <c r="K4" s="20" t="s">
        <v>8</v>
      </c>
      <c r="L4" s="21" t="s">
        <v>294</v>
      </c>
    </row>
    <row r="5" spans="1:12" ht="45" customHeight="1" x14ac:dyDescent="0.3">
      <c r="A5" s="18" t="s">
        <v>295</v>
      </c>
      <c r="B5" s="1" t="s">
        <v>44</v>
      </c>
      <c r="C5" s="1" t="s">
        <v>296</v>
      </c>
      <c r="D5" s="1" t="s">
        <v>297</v>
      </c>
      <c r="E5" s="1" t="s">
        <v>298</v>
      </c>
      <c r="F5" s="1" t="s">
        <v>299</v>
      </c>
      <c r="G5" s="1" t="s">
        <v>300</v>
      </c>
      <c r="H5" s="19" t="s">
        <v>77</v>
      </c>
      <c r="I5" s="19" t="s">
        <v>87</v>
      </c>
      <c r="J5" s="19" t="s">
        <v>79</v>
      </c>
      <c r="K5" s="20" t="s">
        <v>8</v>
      </c>
      <c r="L5" s="21" t="s">
        <v>301</v>
      </c>
    </row>
    <row r="6" spans="1:12" ht="45" customHeight="1" x14ac:dyDescent="0.3">
      <c r="A6" s="18" t="s">
        <v>302</v>
      </c>
      <c r="B6" s="1" t="s">
        <v>44</v>
      </c>
      <c r="C6" s="1" t="s">
        <v>303</v>
      </c>
      <c r="D6" s="1" t="s">
        <v>304</v>
      </c>
      <c r="E6" s="1" t="s">
        <v>305</v>
      </c>
      <c r="F6" s="1" t="s">
        <v>306</v>
      </c>
      <c r="G6" s="1" t="s">
        <v>307</v>
      </c>
      <c r="H6" s="19" t="s">
        <v>10</v>
      </c>
      <c r="I6" s="19" t="s">
        <v>78</v>
      </c>
      <c r="J6" s="19" t="s">
        <v>79</v>
      </c>
      <c r="K6" s="20" t="s">
        <v>8</v>
      </c>
      <c r="L6" s="21" t="s">
        <v>308</v>
      </c>
    </row>
    <row r="7" spans="1:12" ht="45" customHeight="1" x14ac:dyDescent="0.3">
      <c r="A7" s="18" t="s">
        <v>309</v>
      </c>
      <c r="B7" s="1" t="s">
        <v>44</v>
      </c>
      <c r="C7" s="1" t="s">
        <v>310</v>
      </c>
      <c r="D7" s="1" t="s">
        <v>311</v>
      </c>
      <c r="E7" s="1" t="s">
        <v>312</v>
      </c>
      <c r="F7" s="1" t="s">
        <v>313</v>
      </c>
      <c r="G7" s="1" t="s">
        <v>314</v>
      </c>
      <c r="H7" s="19" t="s">
        <v>77</v>
      </c>
      <c r="I7" s="19" t="s">
        <v>78</v>
      </c>
      <c r="J7" s="19" t="s">
        <v>79</v>
      </c>
      <c r="K7" s="20" t="s">
        <v>8</v>
      </c>
      <c r="L7" s="21" t="s">
        <v>315</v>
      </c>
    </row>
    <row r="8" spans="1:12" ht="45" customHeight="1" x14ac:dyDescent="0.3">
      <c r="A8" s="18" t="s">
        <v>316</v>
      </c>
      <c r="B8" s="1" t="s">
        <v>44</v>
      </c>
      <c r="C8" s="1" t="s">
        <v>317</v>
      </c>
      <c r="D8" s="1" t="s">
        <v>318</v>
      </c>
      <c r="E8" s="1" t="s">
        <v>319</v>
      </c>
      <c r="F8" s="1" t="s">
        <v>320</v>
      </c>
      <c r="G8" s="1" t="s">
        <v>321</v>
      </c>
      <c r="H8" s="19" t="s">
        <v>10</v>
      </c>
      <c r="I8" s="19" t="s">
        <v>181</v>
      </c>
      <c r="J8" s="19" t="s">
        <v>79</v>
      </c>
      <c r="K8" s="20" t="s">
        <v>8</v>
      </c>
      <c r="L8" s="21" t="s">
        <v>322</v>
      </c>
    </row>
  </sheetData>
  <autoFilter ref="A2:L8" xr:uid="{00000000-0009-0000-0000-000007000000}"/>
  <mergeCells count="1">
    <mergeCell ref="A1:L1"/>
  </mergeCells>
  <conditionalFormatting sqref="K3:K8">
    <cfRule type="expression" dxfId="3" priority="1">
      <formula>K3="Pass"</formula>
    </cfRule>
    <cfRule type="expression" dxfId="2" priority="2">
      <formula>K3="Fail"</formula>
    </cfRule>
    <cfRule type="expression" dxfId="1" priority="3">
      <formula>K3="Blocked"</formula>
    </cfRule>
    <cfRule type="expression" dxfId="0" priority="4">
      <formula>K3="Not Run"</formula>
    </cfRule>
  </conditionalFormatting>
  <dataValidations count="4">
    <dataValidation type="list" sqref="K3:K8" xr:uid="{00000000-0002-0000-0700-000000000000}">
      <formula1>"Not Run,Pass,Fail,Blocked"</formula1>
    </dataValidation>
    <dataValidation type="list" sqref="H3:H8" xr:uid="{00000000-0002-0000-0700-000001000000}">
      <formula1>"Critical,High,Medium,Low"</formula1>
    </dataValidation>
    <dataValidation type="list" sqref="I3:I8" xr:uid="{00000000-0002-0000-0700-000002000000}">
      <formula1>"Positive,Negative,Regression,Security,Integration,E2E,Usability"</formula1>
    </dataValidation>
    <dataValidation type="list" sqref="J3:J8" xr:uid="{00000000-0002-0000-0700-000003000000}">
      <formula1>"Yes,Later,No"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
  <sheetViews>
    <sheetView workbookViewId="0">
      <selection sqref="A1:XFD1048576"/>
    </sheetView>
  </sheetViews>
  <sheetFormatPr defaultRowHeight="14.4" x14ac:dyDescent="0.3"/>
  <cols>
    <col min="1" max="1" width="11.6640625" bestFit="1" customWidth="1"/>
    <col min="2" max="2" width="21.5546875" bestFit="1" customWidth="1"/>
    <col min="3" max="3" width="42" customWidth="1"/>
    <col min="4" max="4" width="28" customWidth="1"/>
    <col min="5" max="5" width="11.77734375" bestFit="1" customWidth="1"/>
    <col min="6" max="6" width="19.33203125" bestFit="1" customWidth="1"/>
    <col min="7" max="7" width="27.21875" bestFit="1" customWidth="1"/>
    <col min="8" max="8" width="11.21875" bestFit="1" customWidth="1"/>
    <col min="9" max="9" width="14" bestFit="1" customWidth="1"/>
    <col min="10" max="10" width="20" hidden="1" customWidth="1"/>
    <col min="11" max="11" width="12" hidden="1" customWidth="1"/>
    <col min="12" max="12" width="24" hidden="1" customWidth="1"/>
  </cols>
  <sheetData>
    <row r="1" spans="1:12" x14ac:dyDescent="0.3">
      <c r="A1" s="29" t="s">
        <v>323</v>
      </c>
      <c r="B1" s="27"/>
      <c r="C1" s="27"/>
      <c r="D1" s="27"/>
      <c r="E1" s="27"/>
      <c r="F1" s="27"/>
      <c r="G1" s="27"/>
      <c r="H1" s="27"/>
      <c r="I1" s="27"/>
      <c r="J1" s="27"/>
      <c r="K1" s="27"/>
      <c r="L1" s="27"/>
    </row>
    <row r="2" spans="1:12" x14ac:dyDescent="0.3">
      <c r="A2" s="5" t="s">
        <v>324</v>
      </c>
      <c r="B2" s="5" t="s">
        <v>325</v>
      </c>
      <c r="C2" s="5" t="s">
        <v>326</v>
      </c>
      <c r="D2" s="5" t="s">
        <v>327</v>
      </c>
      <c r="E2" s="5" t="s">
        <v>67</v>
      </c>
      <c r="F2" s="5" t="s">
        <v>328</v>
      </c>
      <c r="G2" s="5" t="s">
        <v>70</v>
      </c>
      <c r="H2" s="5" t="s">
        <v>329</v>
      </c>
      <c r="I2" s="5" t="s">
        <v>330</v>
      </c>
      <c r="J2" s="5"/>
      <c r="K2" s="5"/>
      <c r="L2" s="5"/>
    </row>
    <row r="3" spans="1:12" ht="28.8" x14ac:dyDescent="0.3">
      <c r="A3" s="18" t="s">
        <v>331</v>
      </c>
      <c r="B3" s="1" t="s">
        <v>34</v>
      </c>
      <c r="C3" s="1" t="s">
        <v>332</v>
      </c>
      <c r="D3" s="1" t="s">
        <v>333</v>
      </c>
      <c r="E3" s="1" t="s">
        <v>77</v>
      </c>
      <c r="F3" s="1" t="s">
        <v>334</v>
      </c>
      <c r="G3" s="1" t="s">
        <v>335</v>
      </c>
      <c r="H3" s="19" t="s">
        <v>336</v>
      </c>
      <c r="I3" s="19" t="s">
        <v>79</v>
      </c>
      <c r="J3" s="19"/>
      <c r="K3" s="20"/>
      <c r="L3" s="21"/>
    </row>
    <row r="4" spans="1:12" ht="28.8" x14ac:dyDescent="0.3">
      <c r="A4" s="18" t="s">
        <v>337</v>
      </c>
      <c r="B4" s="1" t="s">
        <v>36</v>
      </c>
      <c r="C4" s="1" t="s">
        <v>338</v>
      </c>
      <c r="D4" s="1" t="s">
        <v>339</v>
      </c>
      <c r="E4" s="1" t="s">
        <v>77</v>
      </c>
      <c r="F4" s="1" t="s">
        <v>334</v>
      </c>
      <c r="G4" s="1" t="s">
        <v>340</v>
      </c>
      <c r="H4" s="19" t="s">
        <v>336</v>
      </c>
      <c r="I4" s="19" t="s">
        <v>79</v>
      </c>
      <c r="J4" s="19"/>
      <c r="K4" s="20"/>
      <c r="L4" s="21"/>
    </row>
    <row r="5" spans="1:12" ht="28.8" x14ac:dyDescent="0.3">
      <c r="A5" s="18" t="s">
        <v>341</v>
      </c>
      <c r="B5" s="1" t="s">
        <v>38</v>
      </c>
      <c r="C5" s="1" t="s">
        <v>342</v>
      </c>
      <c r="D5" s="1" t="s">
        <v>343</v>
      </c>
      <c r="E5" s="1" t="s">
        <v>77</v>
      </c>
      <c r="F5" s="1" t="s">
        <v>334</v>
      </c>
      <c r="G5" s="1" t="s">
        <v>344</v>
      </c>
      <c r="H5" s="19" t="s">
        <v>336</v>
      </c>
      <c r="I5" s="19" t="s">
        <v>79</v>
      </c>
      <c r="J5" s="19"/>
      <c r="K5" s="20"/>
      <c r="L5" s="21"/>
    </row>
    <row r="6" spans="1:12" ht="28.8" x14ac:dyDescent="0.3">
      <c r="A6" s="18" t="s">
        <v>345</v>
      </c>
      <c r="B6" s="1" t="s">
        <v>40</v>
      </c>
      <c r="C6" s="1" t="s">
        <v>346</v>
      </c>
      <c r="D6" s="1" t="s">
        <v>347</v>
      </c>
      <c r="E6" s="1" t="s">
        <v>10</v>
      </c>
      <c r="F6" s="1" t="s">
        <v>334</v>
      </c>
      <c r="G6" s="1" t="s">
        <v>348</v>
      </c>
      <c r="H6" s="19" t="s">
        <v>336</v>
      </c>
      <c r="I6" s="19" t="s">
        <v>79</v>
      </c>
      <c r="J6" s="19"/>
      <c r="K6" s="20"/>
      <c r="L6" s="21"/>
    </row>
    <row r="7" spans="1:12" ht="28.8" x14ac:dyDescent="0.3">
      <c r="A7" s="18" t="s">
        <v>349</v>
      </c>
      <c r="B7" s="1" t="s">
        <v>350</v>
      </c>
      <c r="C7" s="1" t="s">
        <v>351</v>
      </c>
      <c r="D7" s="1" t="s">
        <v>352</v>
      </c>
      <c r="E7" s="1" t="s">
        <v>77</v>
      </c>
      <c r="F7" s="1" t="s">
        <v>334</v>
      </c>
      <c r="G7" s="1" t="s">
        <v>353</v>
      </c>
      <c r="H7" s="19" t="s">
        <v>336</v>
      </c>
      <c r="I7" s="19" t="s">
        <v>79</v>
      </c>
      <c r="J7" s="19"/>
      <c r="K7" s="20"/>
      <c r="L7" s="21"/>
    </row>
    <row r="8" spans="1:12" ht="28.8" x14ac:dyDescent="0.3">
      <c r="A8" s="18" t="s">
        <v>354</v>
      </c>
      <c r="B8" s="1" t="s">
        <v>44</v>
      </c>
      <c r="C8" s="1" t="s">
        <v>355</v>
      </c>
      <c r="D8" s="1" t="s">
        <v>356</v>
      </c>
      <c r="E8" s="1" t="s">
        <v>77</v>
      </c>
      <c r="F8" s="1" t="s">
        <v>334</v>
      </c>
      <c r="G8" s="1" t="s">
        <v>357</v>
      </c>
      <c r="H8" s="19" t="s">
        <v>336</v>
      </c>
      <c r="I8" s="19" t="s">
        <v>79</v>
      </c>
      <c r="J8" s="19"/>
      <c r="K8" s="20"/>
      <c r="L8" s="21"/>
    </row>
    <row r="9" spans="1:12" x14ac:dyDescent="0.3">
      <c r="A9" s="18"/>
      <c r="B9" s="1"/>
      <c r="C9" s="1"/>
      <c r="D9" s="1"/>
      <c r="E9" s="1"/>
      <c r="F9" s="1"/>
      <c r="G9" s="1"/>
      <c r="H9" s="19"/>
      <c r="I9" s="19"/>
      <c r="J9" s="19"/>
      <c r="K9" s="20"/>
      <c r="L9" s="21"/>
    </row>
    <row r="10" spans="1:12" x14ac:dyDescent="0.3">
      <c r="A10" s="18"/>
      <c r="B10" s="1"/>
      <c r="C10" s="1"/>
      <c r="D10" s="1"/>
      <c r="E10" s="1"/>
      <c r="F10" s="1"/>
      <c r="G10" s="1"/>
      <c r="H10" s="19"/>
      <c r="I10" s="19"/>
      <c r="J10" s="19"/>
      <c r="K10" s="20"/>
      <c r="L10" s="21"/>
    </row>
  </sheetData>
  <autoFilter ref="A2:I10" xr:uid="{00000000-0009-0000-0000-000008000000}"/>
  <mergeCells count="1">
    <mergeCell ref="A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3"/>
  <sheetViews>
    <sheetView workbookViewId="0">
      <selection sqref="A1:XFD1048576"/>
    </sheetView>
  </sheetViews>
  <sheetFormatPr defaultRowHeight="14.4" x14ac:dyDescent="0.3"/>
  <cols>
    <col min="1" max="1" width="10.33203125" bestFit="1" customWidth="1"/>
    <col min="2" max="2" width="41.88671875" bestFit="1" customWidth="1"/>
    <col min="3" max="3" width="20.77734375" bestFit="1" customWidth="1"/>
    <col min="4" max="4" width="23.44140625" bestFit="1" customWidth="1"/>
    <col min="5" max="5" width="11.77734375" bestFit="1" customWidth="1"/>
    <col min="6" max="6" width="30" customWidth="1"/>
    <col min="7" max="7" width="10.6640625" bestFit="1" customWidth="1"/>
    <col min="8" max="8" width="23.88671875" bestFit="1" customWidth="1"/>
    <col min="9" max="9" width="14" hidden="1" customWidth="1"/>
    <col min="10" max="10" width="20" hidden="1" customWidth="1"/>
    <col min="11" max="11" width="12" hidden="1" customWidth="1"/>
    <col min="12" max="12" width="24" hidden="1" customWidth="1"/>
  </cols>
  <sheetData>
    <row r="1" spans="1:12" x14ac:dyDescent="0.3">
      <c r="A1" s="29" t="s">
        <v>358</v>
      </c>
      <c r="B1" s="27"/>
      <c r="C1" s="27"/>
      <c r="D1" s="27"/>
      <c r="E1" s="27"/>
      <c r="F1" s="27"/>
      <c r="G1" s="27"/>
      <c r="H1" s="27"/>
      <c r="I1" s="27"/>
      <c r="J1" s="27"/>
      <c r="K1" s="27"/>
      <c r="L1" s="27"/>
    </row>
    <row r="2" spans="1:12" x14ac:dyDescent="0.3">
      <c r="A2" s="5" t="s">
        <v>61</v>
      </c>
      <c r="B2" s="5" t="s">
        <v>62</v>
      </c>
      <c r="C2" s="5" t="s">
        <v>359</v>
      </c>
      <c r="D2" s="5" t="s">
        <v>360</v>
      </c>
      <c r="E2" s="5" t="s">
        <v>67</v>
      </c>
      <c r="F2" s="5" t="s">
        <v>361</v>
      </c>
      <c r="G2" s="5" t="s">
        <v>48</v>
      </c>
      <c r="H2" s="5" t="s">
        <v>70</v>
      </c>
      <c r="I2" s="5"/>
      <c r="J2" s="5"/>
      <c r="K2" s="5"/>
      <c r="L2" s="5"/>
    </row>
    <row r="3" spans="1:12" ht="28.8" x14ac:dyDescent="0.3">
      <c r="A3" s="18" t="s">
        <v>71</v>
      </c>
      <c r="B3" s="1" t="s">
        <v>362</v>
      </c>
      <c r="C3" s="1" t="s">
        <v>363</v>
      </c>
      <c r="D3" s="1" t="s">
        <v>364</v>
      </c>
      <c r="E3" s="1" t="s">
        <v>77</v>
      </c>
      <c r="F3" s="1" t="s">
        <v>365</v>
      </c>
      <c r="G3" s="1" t="s">
        <v>366</v>
      </c>
      <c r="H3" s="19" t="s">
        <v>367</v>
      </c>
      <c r="I3" s="19"/>
      <c r="J3" s="19"/>
      <c r="K3" s="20"/>
      <c r="L3" s="21"/>
    </row>
    <row r="4" spans="1:12" ht="28.8" x14ac:dyDescent="0.3">
      <c r="A4" s="18" t="s">
        <v>90</v>
      </c>
      <c r="B4" s="1" t="s">
        <v>368</v>
      </c>
      <c r="C4" s="1" t="s">
        <v>369</v>
      </c>
      <c r="D4" s="1" t="s">
        <v>370</v>
      </c>
      <c r="E4" s="1" t="s">
        <v>77</v>
      </c>
      <c r="F4" s="1" t="s">
        <v>371</v>
      </c>
      <c r="G4" s="1" t="s">
        <v>366</v>
      </c>
      <c r="H4" s="19" t="s">
        <v>372</v>
      </c>
      <c r="I4" s="19"/>
      <c r="J4" s="19"/>
      <c r="K4" s="20"/>
      <c r="L4" s="21"/>
    </row>
    <row r="5" spans="1:12" ht="28.8" x14ac:dyDescent="0.3">
      <c r="A5" s="18" t="s">
        <v>127</v>
      </c>
      <c r="B5" s="1" t="s">
        <v>373</v>
      </c>
      <c r="C5" s="1" t="s">
        <v>369</v>
      </c>
      <c r="D5" s="1" t="s">
        <v>374</v>
      </c>
      <c r="E5" s="1" t="s">
        <v>77</v>
      </c>
      <c r="F5" s="1" t="s">
        <v>375</v>
      </c>
      <c r="G5" s="1" t="s">
        <v>366</v>
      </c>
      <c r="H5" s="19" t="s">
        <v>376</v>
      </c>
      <c r="I5" s="19"/>
      <c r="J5" s="19"/>
      <c r="K5" s="20"/>
      <c r="L5" s="21"/>
    </row>
    <row r="6" spans="1:12" ht="28.8" x14ac:dyDescent="0.3">
      <c r="A6" s="18" t="s">
        <v>162</v>
      </c>
      <c r="B6" s="1" t="s">
        <v>163</v>
      </c>
      <c r="C6" s="1" t="s">
        <v>377</v>
      </c>
      <c r="D6" s="1" t="s">
        <v>378</v>
      </c>
      <c r="E6" s="1" t="s">
        <v>77</v>
      </c>
      <c r="F6" s="1" t="s">
        <v>379</v>
      </c>
      <c r="G6" s="1" t="s">
        <v>366</v>
      </c>
      <c r="H6" s="19" t="s">
        <v>380</v>
      </c>
      <c r="I6" s="19"/>
      <c r="J6" s="19"/>
      <c r="K6" s="20"/>
      <c r="L6" s="21"/>
    </row>
    <row r="7" spans="1:12" ht="28.8" x14ac:dyDescent="0.3">
      <c r="A7" s="18" t="s">
        <v>175</v>
      </c>
      <c r="B7" s="1" t="s">
        <v>381</v>
      </c>
      <c r="C7" s="1" t="s">
        <v>382</v>
      </c>
      <c r="D7" s="1" t="s">
        <v>383</v>
      </c>
      <c r="E7" s="1" t="s">
        <v>77</v>
      </c>
      <c r="F7" s="1" t="s">
        <v>384</v>
      </c>
      <c r="G7" s="1" t="s">
        <v>366</v>
      </c>
      <c r="H7" s="19" t="s">
        <v>252</v>
      </c>
      <c r="I7" s="19"/>
      <c r="J7" s="19"/>
      <c r="K7" s="20"/>
      <c r="L7" s="21"/>
    </row>
    <row r="8" spans="1:12" ht="28.8" x14ac:dyDescent="0.3">
      <c r="A8" s="18" t="s">
        <v>232</v>
      </c>
      <c r="B8" s="1" t="s">
        <v>385</v>
      </c>
      <c r="C8" s="1" t="s">
        <v>363</v>
      </c>
      <c r="D8" s="1" t="s">
        <v>386</v>
      </c>
      <c r="E8" s="1" t="s">
        <v>10</v>
      </c>
      <c r="F8" s="1" t="s">
        <v>387</v>
      </c>
      <c r="G8" s="1" t="s">
        <v>366</v>
      </c>
      <c r="H8" s="19" t="s">
        <v>388</v>
      </c>
      <c r="I8" s="19"/>
      <c r="J8" s="19"/>
      <c r="K8" s="20"/>
      <c r="L8" s="21"/>
    </row>
    <row r="9" spans="1:12" ht="28.8" x14ac:dyDescent="0.3">
      <c r="A9" s="18" t="s">
        <v>281</v>
      </c>
      <c r="B9" s="1" t="s">
        <v>389</v>
      </c>
      <c r="C9" s="1" t="s">
        <v>390</v>
      </c>
      <c r="D9" s="1" t="s">
        <v>391</v>
      </c>
      <c r="E9" s="1" t="s">
        <v>77</v>
      </c>
      <c r="F9" s="1" t="s">
        <v>392</v>
      </c>
      <c r="G9" s="1" t="s">
        <v>366</v>
      </c>
      <c r="H9" s="19" t="s">
        <v>393</v>
      </c>
      <c r="I9" s="19"/>
      <c r="J9" s="19"/>
      <c r="K9" s="20"/>
      <c r="L9" s="21"/>
    </row>
    <row r="10" spans="1:12" ht="28.8" x14ac:dyDescent="0.3">
      <c r="A10" s="18" t="s">
        <v>316</v>
      </c>
      <c r="B10" s="1" t="s">
        <v>394</v>
      </c>
      <c r="C10" s="1" t="s">
        <v>395</v>
      </c>
      <c r="D10" s="1" t="s">
        <v>396</v>
      </c>
      <c r="E10" s="1" t="s">
        <v>10</v>
      </c>
      <c r="F10" s="1" t="s">
        <v>397</v>
      </c>
      <c r="G10" s="1" t="s">
        <v>366</v>
      </c>
      <c r="H10" s="19" t="s">
        <v>398</v>
      </c>
      <c r="I10" s="19"/>
      <c r="J10" s="19"/>
      <c r="K10" s="20"/>
      <c r="L10" s="21"/>
    </row>
    <row r="11" spans="1:12" x14ac:dyDescent="0.3">
      <c r="A11" s="18"/>
      <c r="B11" s="1"/>
      <c r="C11" s="1"/>
      <c r="D11" s="1"/>
      <c r="E11" s="1"/>
      <c r="F11" s="1"/>
      <c r="G11" s="1"/>
      <c r="H11" s="19"/>
      <c r="I11" s="19"/>
      <c r="J11" s="19"/>
      <c r="K11" s="20"/>
      <c r="L11" s="21"/>
    </row>
    <row r="12" spans="1:12" x14ac:dyDescent="0.3">
      <c r="A12" s="18"/>
      <c r="B12" s="1"/>
      <c r="C12" s="1"/>
      <c r="D12" s="1"/>
      <c r="E12" s="1"/>
      <c r="F12" s="1"/>
      <c r="G12" s="1"/>
      <c r="H12" s="19"/>
      <c r="I12" s="19"/>
      <c r="J12" s="19"/>
      <c r="K12" s="20"/>
      <c r="L12" s="21"/>
    </row>
    <row r="13" spans="1:12" x14ac:dyDescent="0.3">
      <c r="A13" s="18"/>
      <c r="B13" s="1"/>
      <c r="C13" s="1"/>
      <c r="D13" s="1"/>
      <c r="E13" s="1"/>
      <c r="F13" s="1"/>
      <c r="G13" s="1"/>
      <c r="H13" s="19"/>
      <c r="I13" s="19"/>
      <c r="J13" s="19"/>
      <c r="K13" s="20"/>
      <c r="L13" s="21"/>
    </row>
  </sheetData>
  <autoFilter ref="A2:H13" xr:uid="{00000000-0009-0000-0000-000009000000}"/>
  <mergeCells count="1">
    <mergeCell ref="A1:L1"/>
  </mergeCells>
  <pageMargins left="0.7" right="0.7" top="0.75" bottom="0.75" header="0.3" footer="0.3"/>
</worksheet>
</file>

<file path=docMetadata/LabelInfo.xml><?xml version="1.0" encoding="utf-8"?>
<clbl:labelList xmlns:clbl="http://schemas.microsoft.com/office/2020/mipLabelMetadata">
  <clbl:label id="{8d2d5684-10a2-4364-952f-c78858d41697}" enabled="1" method="Standard" siteId="{4a3454a0-8cf4-4a9c-b1c0-6ce4d1495f8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Summary</vt:lpstr>
      <vt:lpstr>10_Meter_Reading</vt:lpstr>
      <vt:lpstr>20_Device_Management</vt:lpstr>
      <vt:lpstr>30_Billing_Invoicing</vt:lpstr>
      <vt:lpstr>40_Customer_Accounts</vt:lpstr>
      <vt:lpstr>50_Error_Handling_Resilience</vt:lpstr>
      <vt:lpstr>60_E2E_Meter_to_Cash</vt:lpstr>
      <vt:lpstr>70_RTM</vt:lpstr>
      <vt:lpstr>80_Automation_Map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 Ramon Jr</cp:lastModifiedBy>
  <dcterms:created xsi:type="dcterms:W3CDTF">2026-04-06T07:08:29Z</dcterms:created>
  <dcterms:modified xsi:type="dcterms:W3CDTF">2026-04-08T08:07:50Z</dcterms:modified>
</cp:coreProperties>
</file>